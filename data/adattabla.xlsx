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ko\datHU\data\"/>
    </mc:Choice>
  </mc:AlternateContent>
  <xr:revisionPtr revIDLastSave="0" documentId="13_ncr:1_{FCEDF3A8-C851-4DFD-8AB2-30B680830135}" xr6:coauthVersionLast="47" xr6:coauthVersionMax="47" xr10:uidLastSave="{00000000-0000-0000-0000-000000000000}"/>
  <bookViews>
    <workbookView xWindow="-28920" yWindow="-120" windowWidth="29040" windowHeight="15720" xr2:uid="{7F544247-7894-42D1-8E38-07F7BA1C1A12}"/>
  </bookViews>
  <sheets>
    <sheet name="Munka1" sheetId="1" r:id="rId1"/>
    <sheet name="Diagrammo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3" i="1" l="1"/>
  <c r="BN13" i="1"/>
  <c r="BO13" i="1"/>
  <c r="BM11" i="1"/>
  <c r="BN11" i="1"/>
  <c r="BO11" i="1"/>
  <c r="BM9" i="1"/>
  <c r="BN9" i="1"/>
  <c r="BO9" i="1"/>
  <c r="BM7" i="1"/>
  <c r="BN7" i="1"/>
  <c r="BO7" i="1"/>
  <c r="BM5" i="1"/>
  <c r="BN5" i="1"/>
  <c r="BO5" i="1"/>
  <c r="BM3" i="1"/>
  <c r="BN3" i="1"/>
  <c r="BO3" i="1"/>
  <c r="BG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A9" i="1"/>
  <c r="BB9" i="1"/>
  <c r="BC9" i="1"/>
  <c r="BD9" i="1"/>
  <c r="BE9" i="1"/>
  <c r="BF9" i="1"/>
  <c r="BG9" i="1"/>
  <c r="BH9" i="1"/>
  <c r="BI9" i="1"/>
  <c r="BJ9" i="1"/>
  <c r="BK9" i="1"/>
  <c r="BL9" i="1"/>
  <c r="BA7" i="1"/>
  <c r="BB7" i="1"/>
  <c r="BC7" i="1"/>
  <c r="BD7" i="1"/>
  <c r="BE7" i="1"/>
  <c r="BF7" i="1"/>
  <c r="BG7" i="1"/>
  <c r="BH7" i="1"/>
  <c r="BI7" i="1"/>
  <c r="BJ7" i="1"/>
  <c r="BK7" i="1"/>
  <c r="BL7" i="1"/>
  <c r="BA5" i="1"/>
  <c r="BB5" i="1"/>
  <c r="BC5" i="1"/>
  <c r="BD5" i="1"/>
  <c r="BE5" i="1"/>
  <c r="BF5" i="1"/>
  <c r="BG5" i="1"/>
  <c r="BH5" i="1"/>
  <c r="BI5" i="1"/>
  <c r="BJ5" i="1"/>
  <c r="BK5" i="1"/>
  <c r="BL5" i="1"/>
  <c r="BA3" i="1"/>
  <c r="BB3" i="1"/>
  <c r="BC3" i="1"/>
  <c r="BD3" i="1"/>
  <c r="BE3" i="1"/>
  <c r="BF3" i="1"/>
  <c r="BH3" i="1"/>
  <c r="BI3" i="1"/>
  <c r="BJ3" i="1"/>
  <c r="BK3" i="1"/>
  <c r="BL3" i="1"/>
  <c r="AZ3" i="1"/>
  <c r="AW3" i="1"/>
  <c r="AX3" i="1"/>
  <c r="AY3" i="1"/>
  <c r="AW5" i="1"/>
  <c r="AX5" i="1"/>
  <c r="AY5" i="1"/>
  <c r="AZ5" i="1"/>
  <c r="AW7" i="1"/>
  <c r="AX7" i="1"/>
  <c r="AY7" i="1"/>
  <c r="AZ7" i="1"/>
  <c r="AW9" i="1"/>
  <c r="AX9" i="1"/>
  <c r="AY9" i="1"/>
  <c r="AZ9" i="1"/>
  <c r="AW11" i="1"/>
  <c r="AX11" i="1"/>
  <c r="AY11" i="1"/>
  <c r="AZ11" i="1"/>
  <c r="AW13" i="1"/>
  <c r="AX13" i="1"/>
  <c r="AY13" i="1"/>
  <c r="AZ13" i="1"/>
  <c r="AV3" i="1"/>
  <c r="AV5" i="1"/>
  <c r="AV7" i="1"/>
  <c r="AV9" i="1"/>
  <c r="AV11" i="1"/>
  <c r="AV13" i="1"/>
  <c r="AJ5" i="1"/>
  <c r="AK5" i="1"/>
  <c r="AL5" i="1"/>
  <c r="AM5" i="1"/>
  <c r="AN5" i="1"/>
  <c r="AO5" i="1"/>
  <c r="AP5" i="1"/>
  <c r="AQ5" i="1"/>
  <c r="AR5" i="1"/>
  <c r="AS5" i="1"/>
  <c r="AT5" i="1"/>
  <c r="AU5" i="1"/>
  <c r="AJ7" i="1"/>
  <c r="AK7" i="1"/>
  <c r="AL7" i="1"/>
  <c r="AM7" i="1"/>
  <c r="AN7" i="1"/>
  <c r="AO7" i="1"/>
  <c r="AP7" i="1"/>
  <c r="AQ7" i="1"/>
  <c r="AR7" i="1"/>
  <c r="AS7" i="1"/>
  <c r="AT7" i="1"/>
  <c r="AU7" i="1"/>
  <c r="AJ9" i="1"/>
  <c r="AK9" i="1"/>
  <c r="AL9" i="1"/>
  <c r="AM9" i="1"/>
  <c r="AN9" i="1"/>
  <c r="AO9" i="1"/>
  <c r="AP9" i="1"/>
  <c r="AQ9" i="1"/>
  <c r="AR9" i="1"/>
  <c r="AS9" i="1"/>
  <c r="AT9" i="1"/>
  <c r="AU9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S3" i="1"/>
  <c r="AT3" i="1"/>
  <c r="AU3" i="1"/>
  <c r="AQ3" i="1"/>
  <c r="AR3" i="1"/>
  <c r="AK3" i="1"/>
  <c r="AL3" i="1"/>
  <c r="AM3" i="1"/>
  <c r="AN3" i="1"/>
  <c r="AO3" i="1"/>
  <c r="AP3" i="1"/>
  <c r="AJ3" i="1"/>
</calcChain>
</file>

<file path=xl/sharedStrings.xml><?xml version="1.0" encoding="utf-8"?>
<sst xmlns="http://schemas.openxmlformats.org/spreadsheetml/2006/main" count="71" uniqueCount="42">
  <si>
    <t>Időszak</t>
  </si>
  <si>
    <t>2024. október</t>
  </si>
  <si>
    <t>2024. november</t>
  </si>
  <si>
    <t>2024. december</t>
  </si>
  <si>
    <t>Partner</t>
  </si>
  <si>
    <t>szeptember</t>
  </si>
  <si>
    <t>október</t>
  </si>
  <si>
    <t>november</t>
  </si>
  <si>
    <t>december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</si>
  <si>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</si>
  <si>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</si>
  <si>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</si>
  <si>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</si>
  <si>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</si>
  <si>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</si>
  <si>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</si>
  <si>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</si>
  <si>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DEKRA-Expert Kft.</t>
  </si>
  <si>
    <t>Expert-Unió Kft.</t>
  </si>
  <si>
    <t>Pilkington Kft.</t>
  </si>
  <si>
    <t>Porsche InterAutó Kft.</t>
  </si>
  <si>
    <t>Toyota Kovács</t>
  </si>
  <si>
    <t>Max. darabszám</t>
  </si>
  <si>
    <t>Összes</t>
  </si>
  <si>
    <t>4Conrol</t>
  </si>
  <si>
    <t>DEKRA</t>
  </si>
  <si>
    <t>Expert-Unió</t>
  </si>
  <si>
    <t>2025. január</t>
  </si>
  <si>
    <t>2025. február</t>
  </si>
  <si>
    <t>2025. március</t>
  </si>
  <si>
    <t>2025. április</t>
  </si>
  <si>
    <t>2025. május</t>
  </si>
  <si>
    <t>2025. június</t>
  </si>
  <si>
    <t>2025. július</t>
  </si>
  <si>
    <t>2025. augusztus</t>
  </si>
  <si>
    <t>2025. szeptember</t>
  </si>
  <si>
    <t>2025. október</t>
  </si>
  <si>
    <t>2025. november</t>
  </si>
  <si>
    <t>2025. december</t>
  </si>
  <si>
    <t>2026. január</t>
  </si>
  <si>
    <t>2026. február</t>
  </si>
  <si>
    <t>4Control Kft.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</si>
</sst>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E]yyyy/\ mmmm;@"/>
  </numFmts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2" borderId="0" xfId="0" applyFill="1"/>
    <xf numFmtId="0" fontId="2" fillId="0" borderId="0" xfId="0" applyFont="1"/>
    <xf numFmtId="10" fontId="0" fillId="0" borderId="0" xfId="1" applyNumberFormat="1" applyFont="1"/>
    <xf numFmtId="0" fontId="0" fillId="0" borderId="0" xfId="0" applyAlignment="1">
      <alignment horizontal="center" vertical="center" wrapText="1"/>
    </xf>
    <xf numFmtId="10" fontId="0" fillId="3" borderId="0" xfId="1" applyNumberFormat="1" applyFont="1" applyFill="1"/>
    <xf numFmtId="10" fontId="0" fillId="4" borderId="0" xfId="1" applyNumberFormat="1" applyFont="1" applyFill="1"/>
    <xf numFmtId="0" fontId="4" fillId="5" borderId="0" xfId="0" applyFont="1" applyFill="1" applyAlignment="1">
      <alignment horizontal="center" vertical="center"/>
    </xf>
    <xf numFmtId="0" fontId="5" fillId="0" borderId="0" xfId="2"/>
    <xf numFmtId="0" fontId="5" fillId="0" borderId="0" xfId="2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6" borderId="1" xfId="0" applyNumberForma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3">
    <dxf>
      <fill>
        <patternFill patternType="solid">
          <bgColor theme="9" tint="0.39997558519241921"/>
        </patternFill>
      </fill>
    </dxf>
    <dxf>
      <fill>
        <patternFill patternType="solid"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Szakértői</a:t>
            </a:r>
            <a:r>
              <a:rPr lang="hu-HU" baseline="0"/>
              <a:t> irodák</a:t>
            </a: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Munka1!$A$3:$U$3</c:f>
              <c:numCache>
                <c:formatCode>General</c:formatCode>
                <c:ptCount val="21"/>
                <c:pt idx="0">
                  <c:v>0</c:v>
                </c:pt>
                <c:pt idx="2">
                  <c:v>1636</c:v>
                </c:pt>
                <c:pt idx="3">
                  <c:v>1695</c:v>
                </c:pt>
                <c:pt idx="4">
                  <c:v>1616</c:v>
                </c:pt>
                <c:pt idx="5">
                  <c:v>1770</c:v>
                </c:pt>
                <c:pt idx="6">
                  <c:v>1882</c:v>
                </c:pt>
                <c:pt idx="7">
                  <c:v>1517</c:v>
                </c:pt>
                <c:pt idx="8">
                  <c:v>1877</c:v>
                </c:pt>
                <c:pt idx="9">
                  <c:v>1672</c:v>
                </c:pt>
                <c:pt idx="10">
                  <c:v>1475</c:v>
                </c:pt>
                <c:pt idx="11">
                  <c:v>1795</c:v>
                </c:pt>
                <c:pt idx="12">
                  <c:v>1874</c:v>
                </c:pt>
                <c:pt idx="13">
                  <c:v>1859</c:v>
                </c:pt>
                <c:pt idx="14">
                  <c:v>1895</c:v>
                </c:pt>
                <c:pt idx="15">
                  <c:v>1676</c:v>
                </c:pt>
                <c:pt idx="16">
                  <c:v>1826</c:v>
                </c:pt>
                <c:pt idx="17">
                  <c:v>1750</c:v>
                </c:pt>
                <c:pt idx="18">
                  <c:v>1608</c:v>
                </c:pt>
                <c:pt idx="19">
                  <c:v>1377</c:v>
                </c:pt>
                <c:pt idx="20">
                  <c:v>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6-40F7-A9C2-A0BBAED43D6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Munka1!$A$4:$U$4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16-40F7-A9C2-A0BBAED43D61}"/>
            </c:ext>
          </c:extLst>
        </c:ser>
        <c:ser>
          <c:idx val="3"/>
          <c:order val="2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Munka1!$A$5:$U$5</c:f>
              <c:numCache>
                <c:formatCode>General</c:formatCode>
                <c:ptCount val="21"/>
                <c:pt idx="0">
                  <c:v>0</c:v>
                </c:pt>
                <c:pt idx="2">
                  <c:v>4233</c:v>
                </c:pt>
                <c:pt idx="3">
                  <c:v>4596</c:v>
                </c:pt>
                <c:pt idx="4">
                  <c:v>4183</c:v>
                </c:pt>
                <c:pt idx="5">
                  <c:v>4083</c:v>
                </c:pt>
                <c:pt idx="6">
                  <c:v>4421</c:v>
                </c:pt>
                <c:pt idx="7">
                  <c:v>3833</c:v>
                </c:pt>
                <c:pt idx="8">
                  <c:v>4269</c:v>
                </c:pt>
                <c:pt idx="9">
                  <c:v>3816</c:v>
                </c:pt>
                <c:pt idx="10">
                  <c:v>3440</c:v>
                </c:pt>
                <c:pt idx="11">
                  <c:v>3995</c:v>
                </c:pt>
                <c:pt idx="12">
                  <c:v>4212</c:v>
                </c:pt>
                <c:pt idx="13">
                  <c:v>4312</c:v>
                </c:pt>
                <c:pt idx="14">
                  <c:v>4491</c:v>
                </c:pt>
                <c:pt idx="15">
                  <c:v>4099</c:v>
                </c:pt>
                <c:pt idx="16">
                  <c:v>4595</c:v>
                </c:pt>
                <c:pt idx="17">
                  <c:v>4571</c:v>
                </c:pt>
                <c:pt idx="18">
                  <c:v>3964</c:v>
                </c:pt>
                <c:pt idx="19">
                  <c:v>3625</c:v>
                </c:pt>
                <c:pt idx="20">
                  <c:v>6616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16-40F7-A9C2-A0BBAED43D61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Munka1!$A$6:$U$6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16-40F7-A9C2-A0BBAED43D61}"/>
            </c:ext>
          </c:extLst>
        </c:ser>
        <c:ser>
          <c:idx val="5"/>
          <c:order val="4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Munka1!$A$7:$U$7</c:f>
              <c:numCache>
                <c:formatCode>General</c:formatCode>
                <c:ptCount val="21"/>
                <c:pt idx="0">
                  <c:v>0</c:v>
                </c:pt>
                <c:pt idx="2">
                  <c:v>1162</c:v>
                </c:pt>
                <c:pt idx="3">
                  <c:v>1272</c:v>
                </c:pt>
                <c:pt idx="4">
                  <c:v>1298</c:v>
                </c:pt>
                <c:pt idx="5">
                  <c:v>1160</c:v>
                </c:pt>
                <c:pt idx="6">
                  <c:v>1319</c:v>
                </c:pt>
                <c:pt idx="7">
                  <c:v>1196</c:v>
                </c:pt>
                <c:pt idx="8">
                  <c:v>1339</c:v>
                </c:pt>
                <c:pt idx="9">
                  <c:v>1177</c:v>
                </c:pt>
                <c:pt idx="10">
                  <c:v>1111</c:v>
                </c:pt>
                <c:pt idx="11">
                  <c:v>1172</c:v>
                </c:pt>
                <c:pt idx="12">
                  <c:v>1173</c:v>
                </c:pt>
                <c:pt idx="13">
                  <c:v>1283</c:v>
                </c:pt>
                <c:pt idx="14">
                  <c:v>1234</c:v>
                </c:pt>
                <c:pt idx="15">
                  <c:v>1063</c:v>
                </c:pt>
                <c:pt idx="16">
                  <c:v>1409</c:v>
                </c:pt>
                <c:pt idx="17">
                  <c:v>1306</c:v>
                </c:pt>
                <c:pt idx="18">
                  <c:v>1227</c:v>
                </c:pt>
                <c:pt idx="19">
                  <c:v>1054</c:v>
                </c:pt>
                <c:pt idx="20">
                  <c:v>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16-40F7-A9C2-A0BBAED43D61}"/>
            </c:ext>
          </c:extLst>
        </c:ser>
        <c:ser>
          <c:idx val="6"/>
          <c:order val="5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Munka1!$A$8:$U$8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16-40F7-A9C2-A0BBAED43D61}"/>
            </c:ext>
          </c:extLst>
        </c:ser>
        <c:ser>
          <c:idx val="7"/>
          <c:order val="6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Munka1!$A$9:$U$9</c:f>
              <c:numCache>
                <c:formatCode>General</c:formatCode>
                <c:ptCount val="21"/>
                <c:pt idx="0">
                  <c:v>0</c:v>
                </c:pt>
                <c:pt idx="2">
                  <c:v>395</c:v>
                </c:pt>
                <c:pt idx="3">
                  <c:v>415</c:v>
                </c:pt>
                <c:pt idx="4">
                  <c:v>352</c:v>
                </c:pt>
                <c:pt idx="5">
                  <c:v>317</c:v>
                </c:pt>
                <c:pt idx="6">
                  <c:v>302</c:v>
                </c:pt>
                <c:pt idx="7">
                  <c:v>270</c:v>
                </c:pt>
                <c:pt idx="8">
                  <c:v>360</c:v>
                </c:pt>
                <c:pt idx="9">
                  <c:v>358</c:v>
                </c:pt>
                <c:pt idx="10">
                  <c:v>306</c:v>
                </c:pt>
                <c:pt idx="11">
                  <c:v>356</c:v>
                </c:pt>
                <c:pt idx="12">
                  <c:v>396</c:v>
                </c:pt>
                <c:pt idx="13">
                  <c:v>371</c:v>
                </c:pt>
                <c:pt idx="14">
                  <c:v>415</c:v>
                </c:pt>
                <c:pt idx="15">
                  <c:v>364</c:v>
                </c:pt>
                <c:pt idx="16">
                  <c:v>323</c:v>
                </c:pt>
                <c:pt idx="17">
                  <c:v>324</c:v>
                </c:pt>
                <c:pt idx="18">
                  <c:v>285</c:v>
                </c:pt>
                <c:pt idx="19">
                  <c:v>223</c:v>
                </c:pt>
                <c:pt idx="20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16-40F7-A9C2-A0BBAED43D61}"/>
            </c:ext>
          </c:extLst>
        </c:ser>
        <c:ser>
          <c:idx val="9"/>
          <c:order val="7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Munka1!$A$10:$U$10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16-40F7-A9C2-A0BBAED43D61}"/>
            </c:ext>
          </c:extLst>
        </c:ser>
        <c:ser>
          <c:idx val="11"/>
          <c:order val="8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Munka1!$A$11:$U$11</c:f>
              <c:numCache>
                <c:formatCode>General</c:formatCode>
                <c:ptCount val="21"/>
                <c:pt idx="0">
                  <c:v>0</c:v>
                </c:pt>
                <c:pt idx="2">
                  <c:v>233</c:v>
                </c:pt>
                <c:pt idx="3">
                  <c:v>294</c:v>
                </c:pt>
                <c:pt idx="4">
                  <c:v>242</c:v>
                </c:pt>
                <c:pt idx="5">
                  <c:v>183</c:v>
                </c:pt>
                <c:pt idx="6">
                  <c:v>206</c:v>
                </c:pt>
                <c:pt idx="7">
                  <c:v>161</c:v>
                </c:pt>
                <c:pt idx="8">
                  <c:v>198</c:v>
                </c:pt>
                <c:pt idx="9">
                  <c:v>203</c:v>
                </c:pt>
                <c:pt idx="10">
                  <c:v>189</c:v>
                </c:pt>
                <c:pt idx="11">
                  <c:v>218</c:v>
                </c:pt>
                <c:pt idx="12">
                  <c:v>226</c:v>
                </c:pt>
                <c:pt idx="13">
                  <c:v>190</c:v>
                </c:pt>
                <c:pt idx="14">
                  <c:v>205</c:v>
                </c:pt>
                <c:pt idx="15">
                  <c:v>186</c:v>
                </c:pt>
                <c:pt idx="16">
                  <c:v>219</c:v>
                </c:pt>
                <c:pt idx="17">
                  <c:v>219</c:v>
                </c:pt>
                <c:pt idx="18">
                  <c:v>192</c:v>
                </c:pt>
                <c:pt idx="19">
                  <c:v>140</c:v>
                </c:pt>
                <c:pt idx="20">
                  <c:v>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16-40F7-A9C2-A0BBAED43D61}"/>
            </c:ext>
          </c:extLst>
        </c:ser>
        <c:ser>
          <c:idx val="13"/>
          <c:order val="9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Munka1!$A$12:$U$12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16-40F7-A9C2-A0BBAED43D61}"/>
            </c:ext>
          </c:extLst>
        </c:ser>
        <c:ser>
          <c:idx val="0"/>
          <c:order val="1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Munka1!$A$13:$U$13</c:f>
              <c:numCache>
                <c:formatCode>General</c:formatCode>
                <c:ptCount val="21"/>
                <c:pt idx="0">
                  <c:v>0</c:v>
                </c:pt>
                <c:pt idx="2">
                  <c:v>96</c:v>
                </c:pt>
                <c:pt idx="3">
                  <c:v>87</c:v>
                </c:pt>
                <c:pt idx="4">
                  <c:v>74</c:v>
                </c:pt>
                <c:pt idx="5">
                  <c:v>99</c:v>
                </c:pt>
                <c:pt idx="6">
                  <c:v>83</c:v>
                </c:pt>
                <c:pt idx="7">
                  <c:v>68</c:v>
                </c:pt>
                <c:pt idx="8">
                  <c:v>110</c:v>
                </c:pt>
                <c:pt idx="9">
                  <c:v>103</c:v>
                </c:pt>
                <c:pt idx="10">
                  <c:v>76</c:v>
                </c:pt>
                <c:pt idx="11">
                  <c:v>94</c:v>
                </c:pt>
                <c:pt idx="12">
                  <c:v>88</c:v>
                </c:pt>
                <c:pt idx="13">
                  <c:v>100</c:v>
                </c:pt>
                <c:pt idx="14">
                  <c:v>102</c:v>
                </c:pt>
                <c:pt idx="15">
                  <c:v>73</c:v>
                </c:pt>
                <c:pt idx="16">
                  <c:v>93</c:v>
                </c:pt>
                <c:pt idx="17">
                  <c:v>106</c:v>
                </c:pt>
                <c:pt idx="18">
                  <c:v>107</c:v>
                </c:pt>
                <c:pt idx="19">
                  <c:v>81</c:v>
                </c:pt>
                <c:pt idx="20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16-40F7-A9C2-A0BBAED43D61}"/>
            </c:ext>
          </c:extLst>
        </c:ser>
        <c:ser>
          <c:idx val="8"/>
          <c:order val="11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Munka1!$A$14:$U$14</c:f>
              <c:numCache>
                <c:formatCode>General</c:formatCode>
                <c:ptCount val="2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16-40F7-A9C2-A0BBAED43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477199"/>
        <c:axId val="1393485359"/>
      </c:lineChart>
      <c:catAx>
        <c:axId val="1393477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93485359"/>
        <c:crosses val="autoZero"/>
        <c:auto val="1"/>
        <c:lblAlgn val="ctr"/>
        <c:lblOffset val="100"/>
        <c:noMultiLvlLbl val="0"/>
      </c:catAx>
      <c:valAx>
        <c:axId val="139348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9347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DEKRA-Expert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84A-4A8C-9D5F-F72FBF4854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Munka1!$C$5:$AH$5</c:f>
              <c:numCache>
                <c:formatCode>General</c:formatCode>
                <c:ptCount val="32"/>
                <c:pt idx="0">
                  <c:v>4233</c:v>
                </c:pt>
                <c:pt idx="1">
                  <c:v>4596</c:v>
                </c:pt>
                <c:pt idx="2">
                  <c:v>4183</c:v>
                </c:pt>
                <c:pt idx="3">
                  <c:v>4083</c:v>
                </c:pt>
                <c:pt idx="4">
                  <c:v>4421</c:v>
                </c:pt>
                <c:pt idx="5">
                  <c:v>3833</c:v>
                </c:pt>
                <c:pt idx="6">
                  <c:v>4269</c:v>
                </c:pt>
                <c:pt idx="7">
                  <c:v>3816</c:v>
                </c:pt>
                <c:pt idx="8">
                  <c:v>3440</c:v>
                </c:pt>
                <c:pt idx="9">
                  <c:v>3995</c:v>
                </c:pt>
                <c:pt idx="10">
                  <c:v>4212</c:v>
                </c:pt>
                <c:pt idx="11">
                  <c:v>4312</c:v>
                </c:pt>
                <c:pt idx="12">
                  <c:v>4491</c:v>
                </c:pt>
                <c:pt idx="13">
                  <c:v>4099</c:v>
                </c:pt>
                <c:pt idx="14">
                  <c:v>4595</c:v>
                </c:pt>
                <c:pt idx="15">
                  <c:v>4571</c:v>
                </c:pt>
                <c:pt idx="16">
                  <c:v>3964</c:v>
                </c:pt>
                <c:pt idx="17">
                  <c:v>3625</c:v>
                </c:pt>
                <c:pt idx="18">
                  <c:v>6616</c:v>
                </c:pt>
                <c:pt idx="19">
                  <c:v>5144</c:v>
                </c:pt>
                <c:pt idx="20">
                  <c:v>5443</c:v>
                </c:pt>
                <c:pt idx="21">
                  <c:v>5976</c:v>
                </c:pt>
                <c:pt idx="22">
                  <c:v>6586</c:v>
                </c:pt>
                <c:pt idx="23">
                  <c:v>6177</c:v>
                </c:pt>
                <c:pt idx="24">
                  <c:v>6987</c:v>
                </c:pt>
                <c:pt idx="25">
                  <c:v>5825</c:v>
                </c:pt>
                <c:pt idx="26">
                  <c:v>5045</c:v>
                </c:pt>
                <c:pt idx="27">
                  <c:v>4754</c:v>
                </c:pt>
                <c:pt idx="28">
                  <c:v>4969</c:v>
                </c:pt>
                <c:pt idx="29">
                  <c:v>4203</c:v>
                </c:pt>
                <c:pt idx="30">
                  <c:v>4425</c:v>
                </c:pt>
                <c:pt idx="31">
                  <c:v>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4A-4A8C-9D5F-F72FBF4854B2}"/>
            </c:ext>
          </c:extLst>
        </c:ser>
        <c:ser>
          <c:idx val="1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Munka1!$C$6:$AH$6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4A-4A8C-9D5F-F72FBF485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23663"/>
        <c:axId val="536491423"/>
      </c:lineChart>
      <c:dateAx>
        <c:axId val="54342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6491423"/>
        <c:crosses val="autoZero"/>
        <c:auto val="0"/>
        <c:lblOffset val="100"/>
        <c:baseTimeUnit val="days"/>
        <c:majorUnit val="1"/>
      </c:dateAx>
      <c:valAx>
        <c:axId val="53649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42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4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Munka1!$C$3:$AH$3</c:f>
              <c:numCache>
                <c:formatCode>General</c:formatCode>
                <c:ptCount val="32"/>
                <c:pt idx="0">
                  <c:v>1636</c:v>
                </c:pt>
                <c:pt idx="1">
                  <c:v>1695</c:v>
                </c:pt>
                <c:pt idx="2">
                  <c:v>1616</c:v>
                </c:pt>
                <c:pt idx="3">
                  <c:v>1770</c:v>
                </c:pt>
                <c:pt idx="4">
                  <c:v>1882</c:v>
                </c:pt>
                <c:pt idx="5">
                  <c:v>1517</c:v>
                </c:pt>
                <c:pt idx="6">
                  <c:v>1877</c:v>
                </c:pt>
                <c:pt idx="7">
                  <c:v>1672</c:v>
                </c:pt>
                <c:pt idx="8">
                  <c:v>1475</c:v>
                </c:pt>
                <c:pt idx="9">
                  <c:v>1795</c:v>
                </c:pt>
                <c:pt idx="10">
                  <c:v>1874</c:v>
                </c:pt>
                <c:pt idx="11">
                  <c:v>1859</c:v>
                </c:pt>
                <c:pt idx="12">
                  <c:v>1895</c:v>
                </c:pt>
                <c:pt idx="13">
                  <c:v>1676</c:v>
                </c:pt>
                <c:pt idx="14">
                  <c:v>1826</c:v>
                </c:pt>
                <c:pt idx="15">
                  <c:v>1750</c:v>
                </c:pt>
                <c:pt idx="16">
                  <c:v>1608</c:v>
                </c:pt>
                <c:pt idx="17">
                  <c:v>1377</c:v>
                </c:pt>
                <c:pt idx="18">
                  <c:v>1743</c:v>
                </c:pt>
                <c:pt idx="19">
                  <c:v>1415</c:v>
                </c:pt>
                <c:pt idx="20">
                  <c:v>1513</c:v>
                </c:pt>
                <c:pt idx="21">
                  <c:v>2001</c:v>
                </c:pt>
                <c:pt idx="22">
                  <c:v>1923</c:v>
                </c:pt>
                <c:pt idx="23">
                  <c:v>1997</c:v>
                </c:pt>
                <c:pt idx="24">
                  <c:v>2288</c:v>
                </c:pt>
                <c:pt idx="25">
                  <c:v>1742</c:v>
                </c:pt>
                <c:pt idx="26">
                  <c:v>2095</c:v>
                </c:pt>
                <c:pt idx="27">
                  <c:v>2089</c:v>
                </c:pt>
                <c:pt idx="28">
                  <c:v>1959</c:v>
                </c:pt>
                <c:pt idx="29">
                  <c:v>1722</c:v>
                </c:pt>
                <c:pt idx="30">
                  <c:v>2254</c:v>
                </c:pt>
                <c:pt idx="31">
                  <c:v>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3F-4CC8-B17C-8B2B17BE7D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Munka1!$C$4:$AH$4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F-4CC8-B17C-8B2B17BE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835999"/>
        <c:axId val="1622745439"/>
      </c:lineChart>
      <c:catAx>
        <c:axId val="41383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22745439"/>
        <c:crosses val="autoZero"/>
        <c:auto val="1"/>
        <c:lblAlgn val="ctr"/>
        <c:lblOffset val="100"/>
        <c:noMultiLvlLbl val="0"/>
      </c:catAx>
      <c:valAx>
        <c:axId val="162274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1383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Expert-Unió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6708333333333336"/>
          <c:w val="0.87197462817147853"/>
          <c:h val="0.6427621026538349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Munka1!$C$7:$AH$7</c:f>
              <c:numCache>
                <c:formatCode>General</c:formatCode>
                <c:ptCount val="32"/>
                <c:pt idx="0">
                  <c:v>1162</c:v>
                </c:pt>
                <c:pt idx="1">
                  <c:v>1272</c:v>
                </c:pt>
                <c:pt idx="2">
                  <c:v>1298</c:v>
                </c:pt>
                <c:pt idx="3">
                  <c:v>1160</c:v>
                </c:pt>
                <c:pt idx="4">
                  <c:v>1319</c:v>
                </c:pt>
                <c:pt idx="5">
                  <c:v>1196</c:v>
                </c:pt>
                <c:pt idx="6">
                  <c:v>1339</c:v>
                </c:pt>
                <c:pt idx="7">
                  <c:v>1177</c:v>
                </c:pt>
                <c:pt idx="8">
                  <c:v>1111</c:v>
                </c:pt>
                <c:pt idx="9">
                  <c:v>1172</c:v>
                </c:pt>
                <c:pt idx="10">
                  <c:v>1173</c:v>
                </c:pt>
                <c:pt idx="11">
                  <c:v>1283</c:v>
                </c:pt>
                <c:pt idx="12">
                  <c:v>1234</c:v>
                </c:pt>
                <c:pt idx="13">
                  <c:v>1063</c:v>
                </c:pt>
                <c:pt idx="14">
                  <c:v>1409</c:v>
                </c:pt>
                <c:pt idx="15">
                  <c:v>1306</c:v>
                </c:pt>
                <c:pt idx="16">
                  <c:v>1227</c:v>
                </c:pt>
                <c:pt idx="17">
                  <c:v>1054</c:v>
                </c:pt>
                <c:pt idx="18">
                  <c:v>1285</c:v>
                </c:pt>
                <c:pt idx="19">
                  <c:v>978</c:v>
                </c:pt>
                <c:pt idx="20">
                  <c:v>1025</c:v>
                </c:pt>
                <c:pt idx="21">
                  <c:v>922</c:v>
                </c:pt>
                <c:pt idx="22">
                  <c:v>1150</c:v>
                </c:pt>
                <c:pt idx="23">
                  <c:v>1082</c:v>
                </c:pt>
                <c:pt idx="24">
                  <c:v>1304</c:v>
                </c:pt>
                <c:pt idx="25">
                  <c:v>1075</c:v>
                </c:pt>
                <c:pt idx="26">
                  <c:v>1202</c:v>
                </c:pt>
                <c:pt idx="27">
                  <c:v>1164</c:v>
                </c:pt>
                <c:pt idx="28">
                  <c:v>1201</c:v>
                </c:pt>
                <c:pt idx="29">
                  <c:v>1109</c:v>
                </c:pt>
                <c:pt idx="30">
                  <c:v>1333</c:v>
                </c:pt>
                <c:pt idx="31">
                  <c:v>1099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1-49F8-8161-9D7D8911CD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Munka1!$C$1:$AH$2</c:f>
              <c:strCache>
                <c:ptCount val="32"/>
                <c:pt idx="0">
                  <c:v>2023. július</c:v>
                </c:pt>
                <c:pt idx="1">
                  <c:v>2023. augusztus</c:v>
                </c:pt>
                <c:pt idx="2">
                  <c:v>2023. szeptember</c:v>
                </c:pt>
                <c:pt idx="3">
                  <c:v>2023. október</c:v>
                </c:pt>
                <c:pt idx="4">
                  <c:v>2023. november</c:v>
                </c:pt>
                <c:pt idx="5">
                  <c:v>2023. december</c:v>
                </c:pt>
                <c:pt idx="6">
                  <c:v>2024. január</c:v>
                </c:pt>
                <c:pt idx="7">
                  <c:v>2024. február</c:v>
                </c:pt>
                <c:pt idx="8">
                  <c:v>2024. március</c:v>
                </c:pt>
                <c:pt idx="9">
                  <c:v>2024. április</c:v>
                </c:pt>
                <c:pt idx="10">
                  <c:v>2024. május</c:v>
                </c:pt>
                <c:pt idx="11">
                  <c:v>2024. június</c:v>
                </c:pt>
                <c:pt idx="12">
                  <c:v>2024. július</c:v>
                </c:pt>
                <c:pt idx="13">
                  <c:v>2024. augusztus</c:v>
                </c:pt>
                <c:pt idx="14">
                  <c:v>2024. szeptember</c:v>
                </c:pt>
                <c:pt idx="15">
                  <c:v>2024. október</c:v>
                </c:pt>
                <c:pt idx="16">
                  <c:v>2024. november</c:v>
                </c:pt>
                <c:pt idx="17">
                  <c:v>2024. december</c:v>
                </c:pt>
                <c:pt idx="18">
                  <c:v>2025. január</c:v>
                </c:pt>
                <c:pt idx="19">
                  <c:v>2025. február</c:v>
                </c:pt>
                <c:pt idx="20">
                  <c:v>2025. március</c:v>
                </c:pt>
                <c:pt idx="21">
                  <c:v>2025. április</c:v>
                </c:pt>
                <c:pt idx="22">
                  <c:v>2025. május</c:v>
                </c:pt>
                <c:pt idx="23">
                  <c:v>2025. június</c:v>
                </c:pt>
                <c:pt idx="24">
                  <c:v>2025. július</c:v>
                </c:pt>
                <c:pt idx="25">
                  <c:v>2025. augusztus</c:v>
                </c:pt>
                <c:pt idx="26">
                  <c:v>2025. szeptember</c:v>
                </c:pt>
                <c:pt idx="27">
                  <c:v>2025. október</c:v>
                </c:pt>
                <c:pt idx="28">
                  <c:v>2025. november</c:v>
                </c:pt>
                <c:pt idx="29">
                  <c:v>2025. december</c:v>
                </c:pt>
                <c:pt idx="30">
                  <c:v>2026. január</c:v>
                </c:pt>
                <c:pt idx="31">
                  <c:v>2026. február</c:v>
                </c:pt>
              </c:strCache>
            </c:strRef>
          </c:cat>
          <c:val>
            <c:numRef>
              <c:f>Munka1!$C$8:$AH$8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1-49F8-8161-9D7D8911C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413103"/>
        <c:axId val="1616727759"/>
      </c:lineChart>
      <c:catAx>
        <c:axId val="54341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616727759"/>
        <c:crosses val="autoZero"/>
        <c:auto val="1"/>
        <c:lblAlgn val="ctr"/>
        <c:lblOffset val="100"/>
        <c:noMultiLvlLbl val="0"/>
      </c:catAx>
      <c:valAx>
        <c:axId val="16167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4341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19050</xdr:colOff>
      <xdr:row>31</xdr:row>
      <xdr:rowOff>85724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4DF69F2-1652-49E0-B946-A63D1821F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32</xdr:row>
      <xdr:rowOff>76200</xdr:rowOff>
    </xdr:from>
    <xdr:to>
      <xdr:col>22</xdr:col>
      <xdr:colOff>600075</xdr:colOff>
      <xdr:row>47</xdr:row>
      <xdr:rowOff>133350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BF39B5A-A132-4169-B525-F9A40C1B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190499</xdr:rowOff>
    </xdr:from>
    <xdr:to>
      <xdr:col>23</xdr:col>
      <xdr:colOff>28574</xdr:colOff>
      <xdr:row>65</xdr:row>
      <xdr:rowOff>28574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52C3982-CC6D-4D6E-AC3D-A0A4F42EB7B9}"/>
            </a:ext>
            <a:ext uri="{147F2762-F138-4A5C-976F-8EAC2B608ADB}">
              <a16:predDERef xmlns:a16="http://schemas.microsoft.com/office/drawing/2014/main" pred="{48E1E76E-9260-F39C-8DA7-A7F2B89A7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67</xdr:row>
      <xdr:rowOff>0</xdr:rowOff>
    </xdr:from>
    <xdr:to>
      <xdr:col>22</xdr:col>
      <xdr:colOff>590550</xdr:colOff>
      <xdr:row>86</xdr:row>
      <xdr:rowOff>9525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986BE0DC-B061-4251-98EC-927E6707BBC9}"/>
            </a:ext>
            <a:ext uri="{147F2762-F138-4A5C-976F-8EAC2B608ADB}">
              <a16:predDERef xmlns:a16="http://schemas.microsoft.com/office/drawing/2014/main" pred="{94C2AB10-890B-82A4-E649-E39E470A4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CF61-36E1-4778-B627-F63F8134BC9E}">
  <dimension ref="A1:BX21"/>
  <sheetViews>
    <sheetView tabSelected="1" zoomScaleNormal="100" workbookViewId="0">
      <pane xSplit="2" ySplit="2" topLeftCell="AF3" activePane="bottomRight" state="frozen"/>
      <selection pane="topRight" activeCell="C1" sqref="C1"/>
      <selection pane="bottomLeft" activeCell="A3" sqref="A3"/>
      <selection pane="bottomRight" activeCell="AJ3" sqref="AJ3"/>
    </sheetView>
  </sheetViews>
  <sheetFormatPr defaultRowHeight="15" x14ac:dyDescent="0.25"/>
  <cols>
    <col min="3" max="3" width="10.85546875" bestFit="1" customWidth="1"/>
    <col min="4" max="4" width="14.85546875" bestFit="1" customWidth="1"/>
    <col min="5" max="5" width="16.7109375" bestFit="1" customWidth="1"/>
    <col min="6" max="6" width="13.140625" bestFit="1" customWidth="1"/>
    <col min="7" max="7" width="15.28515625" bestFit="1" customWidth="1"/>
    <col min="8" max="8" width="15.140625" bestFit="1" customWidth="1"/>
    <col min="9" max="9" width="11.85546875" bestFit="1" customWidth="1"/>
    <col min="10" max="10" width="12.5703125" bestFit="1" customWidth="1"/>
    <col min="11" max="11" width="12.85546875" bestFit="1" customWidth="1"/>
    <col min="12" max="15" width="12.85546875" customWidth="1"/>
    <col min="16" max="16" width="15.140625" bestFit="1" customWidth="1"/>
    <col min="17" max="17" width="16.7109375" bestFit="1" customWidth="1"/>
    <col min="18" max="35" width="16.7109375" customWidth="1"/>
    <col min="36" max="36" width="10.140625" bestFit="1" customWidth="1"/>
    <col min="37" max="37" width="11.5703125" bestFit="1" customWidth="1"/>
    <col min="38" max="38" width="8.7109375" bestFit="1" customWidth="1"/>
    <col min="39" max="39" width="10.28515625" bestFit="1" customWidth="1"/>
    <col min="40" max="40" width="10.140625" bestFit="1" customWidth="1"/>
    <col min="41" max="42" width="8.7109375" bestFit="1" customWidth="1"/>
    <col min="43" max="43" width="8.140625" bestFit="1" customWidth="1"/>
    <col min="44" max="47" width="8.7109375" bestFit="1" customWidth="1"/>
    <col min="48" max="48" width="10" bestFit="1" customWidth="1"/>
    <col min="49" max="49" width="11.5703125" bestFit="1" customWidth="1"/>
  </cols>
  <sheetData>
    <row r="1" spans="1:76" ht="15.75" thickBot="1" x14ac:dyDescent="0.3">
      <c r="A1" s="1"/>
      <c r="B1" s="2" t="s">
        <v>0</v>
      </c>
      <c r="C1" s="22">
        <v>45108</v>
      </c>
      <c r="D1" s="22">
        <v>45139</v>
      </c>
      <c r="E1" s="22">
        <v>45170</v>
      </c>
      <c r="F1" s="22">
        <v>45200</v>
      </c>
      <c r="G1" s="22">
        <v>45231</v>
      </c>
      <c r="H1" s="22">
        <v>45261</v>
      </c>
      <c r="I1" s="22">
        <v>45292</v>
      </c>
      <c r="J1" s="22">
        <v>45323</v>
      </c>
      <c r="K1" s="22">
        <v>45352</v>
      </c>
      <c r="L1" s="22">
        <v>45383</v>
      </c>
      <c r="M1" s="22">
        <v>45413</v>
      </c>
      <c r="N1" s="22">
        <v>45444</v>
      </c>
      <c r="O1" s="22">
        <v>45474</v>
      </c>
      <c r="P1" s="22">
        <v>45505</v>
      </c>
      <c r="Q1" s="22">
        <v>45536</v>
      </c>
      <c r="R1" s="22" t="s">
        <v>1</v>
      </c>
      <c r="S1" s="22" t="s">
        <v>2</v>
      </c>
      <c r="T1" s="22" t="s">
        <v>3</v>
      </c>
      <c r="U1" s="23" t="s">
        <v>27</v>
      </c>
      <c r="V1" s="23" t="s">
        <v>28</v>
      </c>
      <c r="W1" s="23" t="s">
        <v>29</v>
      </c>
      <c r="X1" s="23" t="s">
        <v>30</v>
      </c>
      <c r="Y1" s="23" t="s">
        <v>31</v>
      </c>
      <c r="Z1" s="23" t="s">
        <v>32</v>
      </c>
      <c r="AA1" s="23" t="s">
        <v>33</v>
      </c>
      <c r="AB1" s="23" t="s">
        <v>34</v>
      </c>
      <c r="AC1" s="23" t="s">
        <v>35</v>
      </c>
      <c r="AD1" s="23" t="s">
        <v>36</v>
      </c>
      <c r="AE1" s="23" t="s">
        <v>37</v>
      </c>
      <c r="AF1" s="23" t="s">
        <v>38</v>
      </c>
      <c r="AG1" s="23" t="s">
        <v>39</v>
      </c>
      <c r="AH1" s="23" t="s">
        <v>40</v>
      </c>
      <c r="AI1" s="15"/>
      <c r="AJ1" s="17">
        <v>2023</v>
      </c>
      <c r="AK1" s="18"/>
      <c r="AL1" s="18"/>
      <c r="AM1" s="18"/>
      <c r="AN1" s="19"/>
      <c r="AO1" s="17">
        <v>2024</v>
      </c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9"/>
      <c r="BA1" s="17">
        <v>2025</v>
      </c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9"/>
      <c r="BM1" s="17">
        <v>2026</v>
      </c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9"/>
    </row>
    <row r="2" spans="1:76" x14ac:dyDescent="0.25">
      <c r="A2" s="3" t="s">
        <v>4</v>
      </c>
      <c r="B2" s="4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15"/>
      <c r="AJ2" s="11" t="s">
        <v>16</v>
      </c>
      <c r="AK2" s="11" t="s">
        <v>5</v>
      </c>
      <c r="AL2" s="11" t="s">
        <v>6</v>
      </c>
      <c r="AM2" s="11" t="s">
        <v>7</v>
      </c>
      <c r="AN2" s="11" t="s">
        <v>8</v>
      </c>
      <c r="AO2" s="11" t="s">
        <v>9</v>
      </c>
      <c r="AP2" s="11" t="s">
        <v>10</v>
      </c>
      <c r="AQ2" s="11" t="s">
        <v>11</v>
      </c>
      <c r="AR2" s="11" t="s">
        <v>12</v>
      </c>
      <c r="AS2" s="11" t="s">
        <v>13</v>
      </c>
      <c r="AT2" s="11" t="s">
        <v>14</v>
      </c>
      <c r="AU2" s="11" t="s">
        <v>15</v>
      </c>
      <c r="AV2" s="11" t="s">
        <v>16</v>
      </c>
      <c r="AW2" s="11" t="s">
        <v>5</v>
      </c>
      <c r="AX2" s="11" t="s">
        <v>6</v>
      </c>
      <c r="AY2" s="11" t="s">
        <v>7</v>
      </c>
      <c r="AZ2" s="11" t="s">
        <v>8</v>
      </c>
      <c r="BA2" s="11" t="s">
        <v>9</v>
      </c>
      <c r="BB2" s="11" t="s">
        <v>10</v>
      </c>
      <c r="BC2" s="11" t="s">
        <v>11</v>
      </c>
      <c r="BD2" s="11" t="s">
        <v>12</v>
      </c>
      <c r="BE2" s="11" t="s">
        <v>13</v>
      </c>
      <c r="BF2" s="11" t="s">
        <v>14</v>
      </c>
      <c r="BG2" s="11" t="s">
        <v>15</v>
      </c>
      <c r="BH2" s="11" t="s">
        <v>16</v>
      </c>
      <c r="BI2" s="11" t="s">
        <v>5</v>
      </c>
      <c r="BJ2" s="11" t="s">
        <v>6</v>
      </c>
      <c r="BK2" s="11" t="s">
        <v>7</v>
      </c>
      <c r="BL2" s="11" t="s">
        <v>8</v>
      </c>
      <c r="BM2" s="11" t="s">
        <v>9</v>
      </c>
      <c r="BN2" s="11" t="s">
        <v>10</v>
      </c>
      <c r="BO2" s="11" t="s">
        <v>11</v>
      </c>
      <c r="BP2" s="11" t="s">
        <v>12</v>
      </c>
      <c r="BQ2" s="11" t="s">
        <v>13</v>
      </c>
      <c r="BR2" s="11" t="s">
        <v>14</v>
      </c>
      <c r="BS2" s="11" t="s">
        <v>15</v>
      </c>
      <c r="BT2" s="11" t="s">
        <v>16</v>
      </c>
      <c r="BU2" s="11" t="s">
        <v>5</v>
      </c>
      <c r="BV2" s="11" t="s">
        <v>6</v>
      </c>
      <c r="BW2" s="11" t="s">
        <v>7</v>
      </c>
      <c r="BX2" s="11" t="s">
        <v>8</v>
      </c>
    </row>
    <row r="3" spans="1:76" x14ac:dyDescent="0.25">
      <c r="A3" s="21" t="s">
        <v>41</v>
      </c>
      <c r="B3" s="21"/>
      <c r="C3" s="16">
        <v>1636</v>
      </c>
      <c r="D3" s="16">
        <v>1695</v>
      </c>
      <c r="E3" s="16">
        <v>1616</v>
      </c>
      <c r="F3" s="16">
        <v>1770</v>
      </c>
      <c r="G3" s="16">
        <v>1882</v>
      </c>
      <c r="H3" s="16">
        <v>1517</v>
      </c>
      <c r="I3" s="16">
        <v>1877</v>
      </c>
      <c r="J3" s="16">
        <v>1672</v>
      </c>
      <c r="K3" s="16">
        <v>1475</v>
      </c>
      <c r="L3" s="16">
        <v>1795</v>
      </c>
      <c r="M3" s="16">
        <v>1874</v>
      </c>
      <c r="N3" s="16">
        <v>1859</v>
      </c>
      <c r="O3" s="16">
        <v>1895</v>
      </c>
      <c r="P3" s="16">
        <v>1676</v>
      </c>
      <c r="Q3" s="16">
        <v>1826</v>
      </c>
      <c r="R3" s="16">
        <v>1750</v>
      </c>
      <c r="S3" s="16">
        <v>1608</v>
      </c>
      <c r="T3" s="16">
        <v>1377</v>
      </c>
      <c r="U3" s="16">
        <v>1743</v>
      </c>
      <c r="V3" s="16">
        <v>1415</v>
      </c>
      <c r="W3" s="16">
        <v>1513</v>
      </c>
      <c r="X3" s="16">
        <v>2001</v>
      </c>
      <c r="Y3" s="16">
        <v>1923</v>
      </c>
      <c r="Z3" s="16">
        <v>1997</v>
      </c>
      <c r="AA3" s="16">
        <v>2288</v>
      </c>
      <c r="AB3" s="16">
        <v>1742</v>
      </c>
      <c r="AC3" s="16">
        <v>2095</v>
      </c>
      <c r="AD3" s="16">
        <v>2089</v>
      </c>
      <c r="AE3" s="16">
        <v>1959</v>
      </c>
      <c r="AF3" s="16">
        <v>1722</v>
      </c>
      <c r="AG3" s="16">
        <v>2254</v>
      </c>
      <c r="AH3" s="16">
        <v>1995</v>
      </c>
      <c r="AI3" s="14"/>
      <c r="AJ3" s="9">
        <f>(D3/C3)</f>
        <v>1.0360635696821516</v>
      </c>
      <c r="AK3" s="10">
        <f t="shared" ref="AK3:AP3" si="0">(E3/D3)</f>
        <v>0.95339233038348081</v>
      </c>
      <c r="AL3" s="9">
        <f t="shared" si="0"/>
        <v>1.0952970297029703</v>
      </c>
      <c r="AM3" s="9">
        <f t="shared" si="0"/>
        <v>1.0632768361581921</v>
      </c>
      <c r="AN3" s="10">
        <f t="shared" si="0"/>
        <v>0.80605738575982999</v>
      </c>
      <c r="AO3" s="9">
        <f t="shared" si="0"/>
        <v>1.2373104812129203</v>
      </c>
      <c r="AP3" s="10">
        <f t="shared" si="0"/>
        <v>0.89078316462440066</v>
      </c>
      <c r="AQ3" s="10">
        <f t="shared" ref="AQ3" si="1">(K3/J3)</f>
        <v>0.88217703349282295</v>
      </c>
      <c r="AR3" s="9">
        <f t="shared" ref="AR3" si="2">(L3/K3)</f>
        <v>1.2169491525423728</v>
      </c>
      <c r="AS3" s="9">
        <f t="shared" ref="AS3" si="3">(M3/L3)</f>
        <v>1.0440111420612814</v>
      </c>
      <c r="AT3" s="10">
        <f t="shared" ref="AT3" si="4">(N3/M3)</f>
        <v>0.99199573105656347</v>
      </c>
      <c r="AU3" s="9">
        <f t="shared" ref="AU3:AV3" si="5">(O3/N3)</f>
        <v>1.019365250134481</v>
      </c>
      <c r="AV3" s="9">
        <f t="shared" si="5"/>
        <v>0.88443271767810028</v>
      </c>
      <c r="AW3" s="9">
        <f t="shared" ref="AW3" si="6">(Q3/P3)</f>
        <v>1.0894988066825775</v>
      </c>
      <c r="AX3" s="9">
        <f t="shared" ref="AX3" si="7">(R3/Q3)</f>
        <v>0.95837897042716325</v>
      </c>
      <c r="AY3" s="9">
        <f t="shared" ref="AY3" si="8">(S3/R3)</f>
        <v>0.91885714285714282</v>
      </c>
      <c r="AZ3" s="9">
        <f>(T3/S3)</f>
        <v>0.85634328358208955</v>
      </c>
      <c r="BA3" s="9">
        <f t="shared" ref="BA3:BL3" si="9">(U3/T3)</f>
        <v>1.2657952069716776</v>
      </c>
      <c r="BB3" s="9">
        <f t="shared" si="9"/>
        <v>0.81181870338496842</v>
      </c>
      <c r="BC3" s="9">
        <f t="shared" si="9"/>
        <v>1.0692579505300353</v>
      </c>
      <c r="BD3" s="9">
        <f t="shared" si="9"/>
        <v>1.3225380039656311</v>
      </c>
      <c r="BE3" s="9">
        <f t="shared" si="9"/>
        <v>0.96101949025487254</v>
      </c>
      <c r="BF3" s="9">
        <f t="shared" si="9"/>
        <v>1.0384815392615705</v>
      </c>
      <c r="BG3" s="9">
        <f>(AA3/Z3)</f>
        <v>1.1457185778668002</v>
      </c>
      <c r="BH3" s="9">
        <f t="shared" si="9"/>
        <v>0.76136363636363635</v>
      </c>
      <c r="BI3" s="9">
        <f t="shared" si="9"/>
        <v>1.2026406429391503</v>
      </c>
      <c r="BJ3" s="9">
        <f t="shared" si="9"/>
        <v>0.99713603818615748</v>
      </c>
      <c r="BK3" s="9">
        <f t="shared" si="9"/>
        <v>0.9377692675921494</v>
      </c>
      <c r="BL3" s="9">
        <f t="shared" si="9"/>
        <v>0.87901990811638586</v>
      </c>
      <c r="BM3" s="9">
        <f t="shared" ref="BM3" si="10">(AG3/AF3)</f>
        <v>1.3089430894308942</v>
      </c>
      <c r="BN3" s="9">
        <f t="shared" ref="BN3" si="11">(AH3/AG3)</f>
        <v>0.8850931677018633</v>
      </c>
      <c r="BO3" s="9">
        <f t="shared" ref="BO3" si="12">(AI3/AH3)</f>
        <v>0</v>
      </c>
    </row>
    <row r="4" spans="1:76" x14ac:dyDescent="0.25">
      <c r="A4" s="21"/>
      <c r="B4" s="2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4"/>
    </row>
    <row r="5" spans="1:76" x14ac:dyDescent="0.25">
      <c r="A5" s="21" t="s">
        <v>17</v>
      </c>
      <c r="B5" s="21"/>
      <c r="C5" s="16">
        <v>4233</v>
      </c>
      <c r="D5" s="20">
        <v>4596</v>
      </c>
      <c r="E5" s="16">
        <v>4183</v>
      </c>
      <c r="F5" s="16">
        <v>4083</v>
      </c>
      <c r="G5" s="16">
        <v>4421</v>
      </c>
      <c r="H5" s="16">
        <v>3833</v>
      </c>
      <c r="I5" s="16">
        <v>4269</v>
      </c>
      <c r="J5" s="16">
        <v>3816</v>
      </c>
      <c r="K5" s="16">
        <v>3440</v>
      </c>
      <c r="L5" s="16">
        <v>3995</v>
      </c>
      <c r="M5" s="16">
        <v>4212</v>
      </c>
      <c r="N5" s="16">
        <v>4312</v>
      </c>
      <c r="O5" s="16">
        <v>4491</v>
      </c>
      <c r="P5" s="16">
        <v>4099</v>
      </c>
      <c r="Q5" s="16">
        <v>4595</v>
      </c>
      <c r="R5" s="16">
        <v>4571</v>
      </c>
      <c r="S5" s="16">
        <v>3964</v>
      </c>
      <c r="T5" s="16">
        <v>3625</v>
      </c>
      <c r="U5" s="16">
        <v>6616</v>
      </c>
      <c r="V5" s="16">
        <v>5144</v>
      </c>
      <c r="W5" s="16">
        <v>5443</v>
      </c>
      <c r="X5" s="16">
        <v>5976</v>
      </c>
      <c r="Y5" s="16">
        <v>6586</v>
      </c>
      <c r="Z5" s="16">
        <v>6177</v>
      </c>
      <c r="AA5" s="16">
        <v>6987</v>
      </c>
      <c r="AB5" s="16">
        <v>5825</v>
      </c>
      <c r="AC5" s="16">
        <v>5045</v>
      </c>
      <c r="AD5" s="16">
        <v>4754</v>
      </c>
      <c r="AE5" s="16">
        <v>4969</v>
      </c>
      <c r="AF5" s="16">
        <v>4203</v>
      </c>
      <c r="AG5" s="16">
        <v>4425</v>
      </c>
      <c r="AH5" s="16">
        <v>4096</v>
      </c>
      <c r="AI5" s="14"/>
      <c r="AJ5" s="9">
        <f t="shared" ref="AJ5:AJ13" si="13">(D5/C5)</f>
        <v>1.0857547838412474</v>
      </c>
      <c r="AK5" s="10">
        <f t="shared" ref="AK5:AK13" si="14">(E5/D5)</f>
        <v>0.91013925152306352</v>
      </c>
      <c r="AL5" s="9">
        <f t="shared" ref="AL5:AL13" si="15">(F5/E5)</f>
        <v>0.97609371264642597</v>
      </c>
      <c r="AM5" s="9">
        <f t="shared" ref="AM5:AM13" si="16">(G5/F5)</f>
        <v>1.0827822679402401</v>
      </c>
      <c r="AN5" s="10">
        <f t="shared" ref="AN5:AN13" si="17">(H5/G5)</f>
        <v>0.86699841664781718</v>
      </c>
      <c r="AO5" s="9">
        <f t="shared" ref="AO5:AO13" si="18">(I5/H5)</f>
        <v>1.1137490216540569</v>
      </c>
      <c r="AP5" s="10">
        <f t="shared" ref="AP5:AP13" si="19">(J5/I5)</f>
        <v>0.89388615600843291</v>
      </c>
      <c r="AQ5" s="10">
        <f t="shared" ref="AQ5:AQ13" si="20">(K5/J5)</f>
        <v>0.90146750524109009</v>
      </c>
      <c r="AR5" s="9">
        <f t="shared" ref="AR5:AR13" si="21">(L5/K5)</f>
        <v>1.1613372093023255</v>
      </c>
      <c r="AS5" s="9">
        <f t="shared" ref="AS5:AS13" si="22">(M5/L5)</f>
        <v>1.0543178973717147</v>
      </c>
      <c r="AT5" s="10">
        <f t="shared" ref="AT5:AT13" si="23">(N5/M5)</f>
        <v>1.0237416904083572</v>
      </c>
      <c r="AU5" s="9">
        <f t="shared" ref="AU5:AV13" si="24">(O5/N5)</f>
        <v>1.0415120593692022</v>
      </c>
      <c r="AV5" s="9">
        <f t="shared" si="24"/>
        <v>0.91271431752393672</v>
      </c>
      <c r="AW5" s="9">
        <f t="shared" ref="AW5" si="25">(Q5/P5)</f>
        <v>1.1210051232007807</v>
      </c>
      <c r="AX5" s="9">
        <f t="shared" ref="AX5" si="26">(R5/Q5)</f>
        <v>0.99477693144722523</v>
      </c>
      <c r="AY5" s="9">
        <f t="shared" ref="AY5" si="27">(S5/R5)</f>
        <v>0.86720630059068038</v>
      </c>
      <c r="AZ5" s="9">
        <f t="shared" ref="AZ5" si="28">(T5/S5)</f>
        <v>0.91448032290615544</v>
      </c>
      <c r="BA5" s="9">
        <f t="shared" ref="BA5" si="29">(U5/T5)</f>
        <v>1.8251034482758621</v>
      </c>
      <c r="BB5" s="9">
        <f t="shared" ref="BB5" si="30">(V5/U5)</f>
        <v>0.77750906892382099</v>
      </c>
      <c r="BC5" s="9">
        <f t="shared" ref="BC5" si="31">(W5/V5)</f>
        <v>1.0581259720062208</v>
      </c>
      <c r="BD5" s="9">
        <f t="shared" ref="BD5" si="32">(X5/W5)</f>
        <v>1.0979239390042257</v>
      </c>
      <c r="BE5" s="9">
        <f t="shared" ref="BE5" si="33">(Y5/X5)</f>
        <v>1.1020749665327978</v>
      </c>
      <c r="BF5" s="9">
        <f t="shared" ref="BF5" si="34">(Z5/Y5)</f>
        <v>0.93789857273003341</v>
      </c>
      <c r="BG5" s="9">
        <f t="shared" ref="BG5" si="35">(AA5/Z5)</f>
        <v>1.1311316172899466</v>
      </c>
      <c r="BH5" s="9">
        <f t="shared" ref="BH5" si="36">(AB5/AA5)</f>
        <v>0.83369114068985262</v>
      </c>
      <c r="BI5" s="9">
        <f t="shared" ref="BI5" si="37">(AC5/AB5)</f>
        <v>0.86609442060085839</v>
      </c>
      <c r="BJ5" s="9">
        <f t="shared" ref="BJ5" si="38">(AD5/AC5)</f>
        <v>0.94231912784935579</v>
      </c>
      <c r="BK5" s="9">
        <f t="shared" ref="BK5" si="39">(AE5/AD5)</f>
        <v>1.0452250736222128</v>
      </c>
      <c r="BL5" s="9">
        <f t="shared" ref="BL5" si="40">(AF5/AE5)</f>
        <v>0.84584423425236466</v>
      </c>
      <c r="BM5" s="9">
        <f t="shared" ref="BM5" si="41">(AG5/AF5)</f>
        <v>1.052819414703783</v>
      </c>
      <c r="BN5" s="9">
        <f t="shared" ref="BN5" si="42">(AH5/AG5)</f>
        <v>0.92564971751412428</v>
      </c>
      <c r="BO5" s="9">
        <f t="shared" ref="BO5" si="43">(AI5/AH5)</f>
        <v>0</v>
      </c>
    </row>
    <row r="6" spans="1:76" x14ac:dyDescent="0.25">
      <c r="A6" s="21"/>
      <c r="B6" s="21"/>
      <c r="C6" s="16"/>
      <c r="D6" s="2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4"/>
    </row>
    <row r="7" spans="1:76" x14ac:dyDescent="0.25">
      <c r="A7" s="21" t="s">
        <v>18</v>
      </c>
      <c r="B7" s="21"/>
      <c r="C7" s="16">
        <v>1162</v>
      </c>
      <c r="D7" s="16">
        <v>1272</v>
      </c>
      <c r="E7" s="16">
        <v>1298</v>
      </c>
      <c r="F7" s="16">
        <v>1160</v>
      </c>
      <c r="G7" s="16">
        <v>1319</v>
      </c>
      <c r="H7" s="16">
        <v>1196</v>
      </c>
      <c r="I7" s="20">
        <v>1339</v>
      </c>
      <c r="J7" s="16">
        <v>1177</v>
      </c>
      <c r="K7" s="16">
        <v>1111</v>
      </c>
      <c r="L7" s="16">
        <v>1172</v>
      </c>
      <c r="M7" s="16">
        <v>1173</v>
      </c>
      <c r="N7" s="16">
        <v>1283</v>
      </c>
      <c r="O7" s="16">
        <v>1234</v>
      </c>
      <c r="P7" s="16">
        <v>1063</v>
      </c>
      <c r="Q7" s="16">
        <v>1409</v>
      </c>
      <c r="R7" s="16">
        <v>1306</v>
      </c>
      <c r="S7" s="16">
        <v>1227</v>
      </c>
      <c r="T7" s="16">
        <v>1054</v>
      </c>
      <c r="U7" s="16">
        <v>1285</v>
      </c>
      <c r="V7" s="16">
        <v>978</v>
      </c>
      <c r="W7" s="16">
        <v>1025</v>
      </c>
      <c r="X7" s="16">
        <v>922</v>
      </c>
      <c r="Y7" s="16">
        <v>1150</v>
      </c>
      <c r="Z7" s="16">
        <v>1082</v>
      </c>
      <c r="AA7" s="16">
        <v>1304</v>
      </c>
      <c r="AB7" s="16">
        <v>1075</v>
      </c>
      <c r="AC7" s="16">
        <v>1202</v>
      </c>
      <c r="AD7" s="16">
        <v>1164</v>
      </c>
      <c r="AE7" s="16">
        <v>1201</v>
      </c>
      <c r="AF7" s="16">
        <v>1109</v>
      </c>
      <c r="AG7" s="16">
        <v>1333</v>
      </c>
      <c r="AH7" s="16">
        <v>1099</v>
      </c>
      <c r="AI7" s="14"/>
      <c r="AJ7" s="9">
        <f t="shared" si="13"/>
        <v>1.0946643717728055</v>
      </c>
      <c r="AK7" s="10">
        <f t="shared" si="14"/>
        <v>1.020440251572327</v>
      </c>
      <c r="AL7" s="9">
        <f t="shared" si="15"/>
        <v>0.89368258859784289</v>
      </c>
      <c r="AM7" s="9">
        <f t="shared" si="16"/>
        <v>1.1370689655172415</v>
      </c>
      <c r="AN7" s="10">
        <f t="shared" si="17"/>
        <v>0.90674753601213043</v>
      </c>
      <c r="AO7" s="9">
        <f t="shared" si="18"/>
        <v>1.1195652173913044</v>
      </c>
      <c r="AP7" s="10">
        <f t="shared" si="19"/>
        <v>0.8790141896938013</v>
      </c>
      <c r="AQ7" s="10">
        <f t="shared" si="20"/>
        <v>0.94392523364485981</v>
      </c>
      <c r="AR7" s="9">
        <f t="shared" si="21"/>
        <v>1.0549054905490549</v>
      </c>
      <c r="AS7" s="9">
        <f t="shared" si="22"/>
        <v>1.0008532423208192</v>
      </c>
      <c r="AT7" s="10">
        <f t="shared" si="23"/>
        <v>1.0937766410912191</v>
      </c>
      <c r="AU7" s="9">
        <f t="shared" si="24"/>
        <v>0.96180826188620416</v>
      </c>
      <c r="AV7" s="9">
        <f t="shared" si="24"/>
        <v>0.86142625607779577</v>
      </c>
      <c r="AW7" s="9">
        <f t="shared" ref="AW7" si="44">(Q7/P7)</f>
        <v>1.3254938852304798</v>
      </c>
      <c r="AX7" s="9">
        <f t="shared" ref="AX7" si="45">(R7/Q7)</f>
        <v>0.9268985095812633</v>
      </c>
      <c r="AY7" s="9">
        <f t="shared" ref="AY7" si="46">(S7/R7)</f>
        <v>0.93950995405819293</v>
      </c>
      <c r="AZ7" s="9">
        <f t="shared" ref="AZ7" si="47">(T7/S7)</f>
        <v>0.8590057049714751</v>
      </c>
      <c r="BA7" s="9">
        <f t="shared" ref="BA7" si="48">(U7/T7)</f>
        <v>1.2191650853889944</v>
      </c>
      <c r="BB7" s="9">
        <f t="shared" ref="BB7" si="49">(V7/U7)</f>
        <v>0.76108949416342409</v>
      </c>
      <c r="BC7" s="9">
        <f t="shared" ref="BC7" si="50">(W7/V7)</f>
        <v>1.0480572597137015</v>
      </c>
      <c r="BD7" s="9">
        <f t="shared" ref="BD7" si="51">(X7/W7)</f>
        <v>0.89951219512195124</v>
      </c>
      <c r="BE7" s="9">
        <f t="shared" ref="BE7" si="52">(Y7/X7)</f>
        <v>1.2472885032537961</v>
      </c>
      <c r="BF7" s="9">
        <f t="shared" ref="BF7" si="53">(Z7/Y7)</f>
        <v>0.94086956521739129</v>
      </c>
      <c r="BG7" s="9">
        <f t="shared" ref="BG7" si="54">(AA7/Z7)</f>
        <v>1.2051756007393715</v>
      </c>
      <c r="BH7" s="9">
        <f t="shared" ref="BH7" si="55">(AB7/AA7)</f>
        <v>0.82438650306748462</v>
      </c>
      <c r="BI7" s="9">
        <f t="shared" ref="BI7" si="56">(AC7/AB7)</f>
        <v>1.1181395348837209</v>
      </c>
      <c r="BJ7" s="9">
        <f t="shared" ref="BJ7" si="57">(AD7/AC7)</f>
        <v>0.96838602329450918</v>
      </c>
      <c r="BK7" s="9">
        <f t="shared" ref="BK7" si="58">(AE7/AD7)</f>
        <v>1.0317869415807561</v>
      </c>
      <c r="BL7" s="9">
        <f t="shared" ref="BL7" si="59">(AF7/AE7)</f>
        <v>0.92339716902581181</v>
      </c>
      <c r="BM7" s="9">
        <f t="shared" ref="BM7" si="60">(AG7/AF7)</f>
        <v>1.2019837691614066</v>
      </c>
      <c r="BN7" s="9">
        <f t="shared" ref="BN7" si="61">(AH7/AG7)</f>
        <v>0.82445611402850716</v>
      </c>
      <c r="BO7" s="9">
        <f t="shared" ref="BO7" si="62">(AI7/AH7)</f>
        <v>0</v>
      </c>
    </row>
    <row r="8" spans="1:76" x14ac:dyDescent="0.25">
      <c r="A8" s="21"/>
      <c r="B8" s="21"/>
      <c r="C8" s="16"/>
      <c r="D8" s="16"/>
      <c r="E8" s="16"/>
      <c r="F8" s="16"/>
      <c r="G8" s="16"/>
      <c r="H8" s="16"/>
      <c r="I8" s="20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4"/>
    </row>
    <row r="9" spans="1:76" x14ac:dyDescent="0.25">
      <c r="A9" s="21" t="s">
        <v>19</v>
      </c>
      <c r="B9" s="21"/>
      <c r="C9" s="16">
        <v>395</v>
      </c>
      <c r="D9" s="20">
        <v>415</v>
      </c>
      <c r="E9" s="16">
        <v>352</v>
      </c>
      <c r="F9" s="16">
        <v>317</v>
      </c>
      <c r="G9" s="16">
        <v>302</v>
      </c>
      <c r="H9" s="16">
        <v>270</v>
      </c>
      <c r="I9" s="16">
        <v>360</v>
      </c>
      <c r="J9" s="16">
        <v>358</v>
      </c>
      <c r="K9" s="16">
        <v>306</v>
      </c>
      <c r="L9" s="16">
        <v>356</v>
      </c>
      <c r="M9" s="16">
        <v>396</v>
      </c>
      <c r="N9" s="16">
        <v>371</v>
      </c>
      <c r="O9" s="16">
        <v>415</v>
      </c>
      <c r="P9" s="16">
        <v>364</v>
      </c>
      <c r="Q9" s="16">
        <v>323</v>
      </c>
      <c r="R9" s="16">
        <v>324</v>
      </c>
      <c r="S9" s="16">
        <v>285</v>
      </c>
      <c r="T9" s="16">
        <v>223</v>
      </c>
      <c r="U9" s="16">
        <v>326</v>
      </c>
      <c r="V9" s="16">
        <v>286</v>
      </c>
      <c r="W9" s="16">
        <v>414</v>
      </c>
      <c r="X9" s="16">
        <v>358</v>
      </c>
      <c r="Y9" s="16">
        <v>471</v>
      </c>
      <c r="Z9" s="16">
        <v>409</v>
      </c>
      <c r="AA9" s="16">
        <v>469</v>
      </c>
      <c r="AB9" s="16">
        <v>404</v>
      </c>
      <c r="AC9" s="16">
        <v>417</v>
      </c>
      <c r="AD9" s="16">
        <v>315</v>
      </c>
      <c r="AE9" s="16">
        <v>321</v>
      </c>
      <c r="AF9" s="16">
        <v>293</v>
      </c>
      <c r="AG9" s="16">
        <v>308</v>
      </c>
      <c r="AH9" s="16">
        <v>329</v>
      </c>
      <c r="AI9" s="14"/>
      <c r="AJ9" s="9">
        <f t="shared" si="13"/>
        <v>1.0506329113924051</v>
      </c>
      <c r="AK9" s="10">
        <f t="shared" si="14"/>
        <v>0.84819277108433733</v>
      </c>
      <c r="AL9" s="9">
        <f t="shared" si="15"/>
        <v>0.90056818181818177</v>
      </c>
      <c r="AM9" s="9">
        <f t="shared" si="16"/>
        <v>0.95268138801261826</v>
      </c>
      <c r="AN9" s="10">
        <f t="shared" si="17"/>
        <v>0.89403973509933776</v>
      </c>
      <c r="AO9" s="9">
        <f t="shared" si="18"/>
        <v>1.3333333333333333</v>
      </c>
      <c r="AP9" s="10">
        <f t="shared" si="19"/>
        <v>0.99444444444444446</v>
      </c>
      <c r="AQ9" s="10">
        <f t="shared" si="20"/>
        <v>0.85474860335195535</v>
      </c>
      <c r="AR9" s="9">
        <f t="shared" si="21"/>
        <v>1.1633986928104576</v>
      </c>
      <c r="AS9" s="9">
        <f t="shared" si="22"/>
        <v>1.1123595505617978</v>
      </c>
      <c r="AT9" s="10">
        <f t="shared" si="23"/>
        <v>0.93686868686868685</v>
      </c>
      <c r="AU9" s="9">
        <f t="shared" si="24"/>
        <v>1.1185983827493262</v>
      </c>
      <c r="AV9" s="9">
        <f t="shared" si="24"/>
        <v>0.87710843373493974</v>
      </c>
      <c r="AW9" s="9">
        <f t="shared" ref="AW9" si="63">(Q9/P9)</f>
        <v>0.88736263736263732</v>
      </c>
      <c r="AX9" s="9">
        <f t="shared" ref="AX9" si="64">(R9/Q9)</f>
        <v>1.0030959752321982</v>
      </c>
      <c r="AY9" s="9">
        <f t="shared" ref="AY9" si="65">(S9/R9)</f>
        <v>0.87962962962962965</v>
      </c>
      <c r="AZ9" s="9">
        <f t="shared" ref="AZ9" si="66">(T9/S9)</f>
        <v>0.78245614035087718</v>
      </c>
      <c r="BA9" s="9">
        <f t="shared" ref="BA9" si="67">(U9/T9)</f>
        <v>1.4618834080717489</v>
      </c>
      <c r="BB9" s="9">
        <f t="shared" ref="BB9" si="68">(V9/U9)</f>
        <v>0.87730061349693256</v>
      </c>
      <c r="BC9" s="9">
        <f t="shared" ref="BC9" si="69">(W9/V9)</f>
        <v>1.4475524475524475</v>
      </c>
      <c r="BD9" s="9">
        <f t="shared" ref="BD9" si="70">(X9/W9)</f>
        <v>0.86473429951690817</v>
      </c>
      <c r="BE9" s="9">
        <f t="shared" ref="BE9" si="71">(Y9/X9)</f>
        <v>1.3156424581005586</v>
      </c>
      <c r="BF9" s="9">
        <f t="shared" ref="BF9" si="72">(Z9/Y9)</f>
        <v>0.86836518046709132</v>
      </c>
      <c r="BG9" s="9">
        <f t="shared" ref="BG9" si="73">(AA9/Z9)</f>
        <v>1.1466992665036675</v>
      </c>
      <c r="BH9" s="9">
        <f t="shared" ref="BH9" si="74">(AB9/AA9)</f>
        <v>0.86140724946695091</v>
      </c>
      <c r="BI9" s="9">
        <f t="shared" ref="BI9" si="75">(AC9/AB9)</f>
        <v>1.0321782178217822</v>
      </c>
      <c r="BJ9" s="9">
        <f t="shared" ref="BJ9" si="76">(AD9/AC9)</f>
        <v>0.75539568345323738</v>
      </c>
      <c r="BK9" s="9">
        <f t="shared" ref="BK9" si="77">(AE9/AD9)</f>
        <v>1.019047619047619</v>
      </c>
      <c r="BL9" s="9">
        <f t="shared" ref="BL9" si="78">(AF9/AE9)</f>
        <v>0.91277258566978192</v>
      </c>
      <c r="BM9" s="9">
        <f t="shared" ref="BM9" si="79">(AG9/AF9)</f>
        <v>1.0511945392491469</v>
      </c>
      <c r="BN9" s="9">
        <f t="shared" ref="BN9" si="80">(AH9/AG9)</f>
        <v>1.0681818181818181</v>
      </c>
      <c r="BO9" s="9">
        <f t="shared" ref="BO9" si="81">(AI9/AH9)</f>
        <v>0</v>
      </c>
    </row>
    <row r="10" spans="1:76" x14ac:dyDescent="0.25">
      <c r="A10" s="21"/>
      <c r="B10" s="21"/>
      <c r="C10" s="16"/>
      <c r="D10" s="20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4"/>
    </row>
    <row r="11" spans="1:76" x14ac:dyDescent="0.25">
      <c r="A11" s="21" t="s">
        <v>20</v>
      </c>
      <c r="B11" s="21"/>
      <c r="C11" s="16">
        <v>233</v>
      </c>
      <c r="D11" s="20">
        <v>294</v>
      </c>
      <c r="E11" s="16">
        <v>242</v>
      </c>
      <c r="F11" s="16">
        <v>183</v>
      </c>
      <c r="G11" s="16">
        <v>206</v>
      </c>
      <c r="H11" s="16">
        <v>161</v>
      </c>
      <c r="I11" s="16">
        <v>198</v>
      </c>
      <c r="J11" s="16">
        <v>203</v>
      </c>
      <c r="K11" s="16">
        <v>189</v>
      </c>
      <c r="L11" s="16">
        <v>218</v>
      </c>
      <c r="M11" s="16">
        <v>226</v>
      </c>
      <c r="N11" s="16">
        <v>190</v>
      </c>
      <c r="O11" s="16">
        <v>205</v>
      </c>
      <c r="P11" s="16">
        <v>186</v>
      </c>
      <c r="Q11" s="16">
        <v>219</v>
      </c>
      <c r="R11" s="16">
        <v>219</v>
      </c>
      <c r="S11" s="16">
        <v>192</v>
      </c>
      <c r="T11" s="16">
        <v>140</v>
      </c>
      <c r="U11" s="16">
        <v>219</v>
      </c>
      <c r="V11" s="16">
        <v>198</v>
      </c>
      <c r="W11" s="16">
        <v>151</v>
      </c>
      <c r="X11" s="16">
        <v>173</v>
      </c>
      <c r="Y11" s="16">
        <v>207</v>
      </c>
      <c r="Z11" s="16">
        <v>219</v>
      </c>
      <c r="AA11" s="16">
        <v>197</v>
      </c>
      <c r="AB11" s="16">
        <v>218</v>
      </c>
      <c r="AC11" s="16">
        <v>264</v>
      </c>
      <c r="AD11" s="16">
        <v>265</v>
      </c>
      <c r="AE11" s="16">
        <v>240</v>
      </c>
      <c r="AF11" s="16">
        <v>204</v>
      </c>
      <c r="AG11" s="16">
        <v>222</v>
      </c>
      <c r="AH11" s="16">
        <v>268</v>
      </c>
      <c r="AI11" s="14"/>
      <c r="AJ11" s="9">
        <f t="shared" si="13"/>
        <v>1.2618025751072961</v>
      </c>
      <c r="AK11" s="10">
        <f t="shared" si="14"/>
        <v>0.8231292517006803</v>
      </c>
      <c r="AL11" s="9">
        <f t="shared" si="15"/>
        <v>0.75619834710743805</v>
      </c>
      <c r="AM11" s="9">
        <f t="shared" si="16"/>
        <v>1.1256830601092895</v>
      </c>
      <c r="AN11" s="10">
        <f t="shared" si="17"/>
        <v>0.78155339805825241</v>
      </c>
      <c r="AO11" s="9">
        <f t="shared" si="18"/>
        <v>1.2298136645962734</v>
      </c>
      <c r="AP11" s="10">
        <f t="shared" si="19"/>
        <v>1.0252525252525253</v>
      </c>
      <c r="AQ11" s="10">
        <f t="shared" si="20"/>
        <v>0.93103448275862066</v>
      </c>
      <c r="AR11" s="9">
        <f t="shared" si="21"/>
        <v>1.1534391534391535</v>
      </c>
      <c r="AS11" s="9">
        <f t="shared" si="22"/>
        <v>1.036697247706422</v>
      </c>
      <c r="AT11" s="10">
        <f t="shared" si="23"/>
        <v>0.84070796460176989</v>
      </c>
      <c r="AU11" s="9">
        <f t="shared" si="24"/>
        <v>1.0789473684210527</v>
      </c>
      <c r="AV11" s="9">
        <f t="shared" si="24"/>
        <v>0.90731707317073174</v>
      </c>
      <c r="AW11" s="9">
        <f t="shared" ref="AW11" si="82">(Q11/P11)</f>
        <v>1.1774193548387097</v>
      </c>
      <c r="AX11" s="9">
        <f t="shared" ref="AX11" si="83">(R11/Q11)</f>
        <v>1</v>
      </c>
      <c r="AY11" s="9">
        <f t="shared" ref="AY11" si="84">(S11/R11)</f>
        <v>0.87671232876712324</v>
      </c>
      <c r="AZ11" s="9">
        <f t="shared" ref="AZ11" si="85">(T11/S11)</f>
        <v>0.72916666666666663</v>
      </c>
      <c r="BA11" s="9">
        <f t="shared" ref="BA11" si="86">(U11/T11)</f>
        <v>1.5642857142857143</v>
      </c>
      <c r="BB11" s="9">
        <f t="shared" ref="BB11" si="87">(V11/U11)</f>
        <v>0.90410958904109584</v>
      </c>
      <c r="BC11" s="9">
        <f t="shared" ref="BC11" si="88">(W11/V11)</f>
        <v>0.76262626262626265</v>
      </c>
      <c r="BD11" s="9">
        <f t="shared" ref="BD11" si="89">(X11/W11)</f>
        <v>1.1456953642384107</v>
      </c>
      <c r="BE11" s="9">
        <f t="shared" ref="BE11" si="90">(Y11/X11)</f>
        <v>1.1965317919075145</v>
      </c>
      <c r="BF11" s="9">
        <f t="shared" ref="BF11" si="91">(Z11/Y11)</f>
        <v>1.0579710144927537</v>
      </c>
      <c r="BG11" s="9">
        <f t="shared" ref="BG11" si="92">(AA11/Z11)</f>
        <v>0.8995433789954338</v>
      </c>
      <c r="BH11" s="9">
        <f t="shared" ref="BH11" si="93">(AB11/AA11)</f>
        <v>1.1065989847715736</v>
      </c>
      <c r="BI11" s="9">
        <f t="shared" ref="BI11" si="94">(AC11/AB11)</f>
        <v>1.2110091743119267</v>
      </c>
      <c r="BJ11" s="9">
        <f t="shared" ref="BJ11" si="95">(AD11/AC11)</f>
        <v>1.0037878787878789</v>
      </c>
      <c r="BK11" s="9">
        <f t="shared" ref="BK11" si="96">(AE11/AD11)</f>
        <v>0.90566037735849059</v>
      </c>
      <c r="BL11" s="9">
        <f t="shared" ref="BL11" si="97">(AF11/AE11)</f>
        <v>0.85</v>
      </c>
      <c r="BM11" s="9">
        <f t="shared" ref="BM11" si="98">(AG11/AF11)</f>
        <v>1.088235294117647</v>
      </c>
      <c r="BN11" s="9">
        <f t="shared" ref="BN11" si="99">(AH11/AG11)</f>
        <v>1.2072072072072073</v>
      </c>
      <c r="BO11" s="9">
        <f t="shared" ref="BO11" si="100">(AI11/AH11)</f>
        <v>0</v>
      </c>
    </row>
    <row r="12" spans="1:76" x14ac:dyDescent="0.25">
      <c r="A12" s="21"/>
      <c r="B12" s="21"/>
      <c r="C12" s="16"/>
      <c r="D12" s="20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4"/>
    </row>
    <row r="13" spans="1:76" x14ac:dyDescent="0.25">
      <c r="A13" s="21" t="s">
        <v>21</v>
      </c>
      <c r="B13" s="21"/>
      <c r="C13" s="16">
        <v>96</v>
      </c>
      <c r="D13" s="16">
        <v>87</v>
      </c>
      <c r="E13" s="16">
        <v>74</v>
      </c>
      <c r="F13" s="16">
        <v>99</v>
      </c>
      <c r="G13" s="16">
        <v>83</v>
      </c>
      <c r="H13" s="16">
        <v>68</v>
      </c>
      <c r="I13" s="20">
        <v>110</v>
      </c>
      <c r="J13" s="16">
        <v>103</v>
      </c>
      <c r="K13" s="16">
        <v>76</v>
      </c>
      <c r="L13" s="16">
        <v>94</v>
      </c>
      <c r="M13" s="16">
        <v>88</v>
      </c>
      <c r="N13" s="16">
        <v>100</v>
      </c>
      <c r="O13" s="16">
        <v>102</v>
      </c>
      <c r="P13" s="16">
        <v>73</v>
      </c>
      <c r="Q13" s="16">
        <v>93</v>
      </c>
      <c r="R13" s="16">
        <v>106</v>
      </c>
      <c r="S13" s="16">
        <v>107</v>
      </c>
      <c r="T13" s="16">
        <v>81</v>
      </c>
      <c r="U13" s="16">
        <v>107</v>
      </c>
      <c r="V13" s="16">
        <v>89</v>
      </c>
      <c r="W13" s="16">
        <v>91</v>
      </c>
      <c r="X13" s="16">
        <v>116</v>
      </c>
      <c r="Y13" s="16">
        <v>107</v>
      </c>
      <c r="Z13" s="16">
        <v>96</v>
      </c>
      <c r="AA13" s="16">
        <v>146</v>
      </c>
      <c r="AB13" s="16">
        <v>105</v>
      </c>
      <c r="AC13" s="16">
        <v>107</v>
      </c>
      <c r="AD13" s="16">
        <v>128</v>
      </c>
      <c r="AE13" s="16">
        <v>127</v>
      </c>
      <c r="AF13" s="16">
        <v>68</v>
      </c>
      <c r="AG13" s="16">
        <v>117</v>
      </c>
      <c r="AH13" s="16">
        <v>99</v>
      </c>
      <c r="AI13" s="14"/>
      <c r="AJ13" s="9">
        <f t="shared" si="13"/>
        <v>0.90625</v>
      </c>
      <c r="AK13" s="10">
        <f t="shared" si="14"/>
        <v>0.85057471264367812</v>
      </c>
      <c r="AL13" s="9">
        <f t="shared" si="15"/>
        <v>1.3378378378378379</v>
      </c>
      <c r="AM13" s="9">
        <f t="shared" si="16"/>
        <v>0.83838383838383834</v>
      </c>
      <c r="AN13" s="10">
        <f t="shared" si="17"/>
        <v>0.81927710843373491</v>
      </c>
      <c r="AO13" s="9">
        <f t="shared" si="18"/>
        <v>1.6176470588235294</v>
      </c>
      <c r="AP13" s="10">
        <f t="shared" si="19"/>
        <v>0.9363636363636364</v>
      </c>
      <c r="AQ13" s="10">
        <f t="shared" si="20"/>
        <v>0.73786407766990292</v>
      </c>
      <c r="AR13" s="9">
        <f t="shared" si="21"/>
        <v>1.236842105263158</v>
      </c>
      <c r="AS13" s="9">
        <f t="shared" si="22"/>
        <v>0.93617021276595747</v>
      </c>
      <c r="AT13" s="10">
        <f t="shared" si="23"/>
        <v>1.1363636363636365</v>
      </c>
      <c r="AU13" s="9">
        <f t="shared" si="24"/>
        <v>1.02</v>
      </c>
      <c r="AV13" s="9">
        <f t="shared" si="24"/>
        <v>0.71568627450980393</v>
      </c>
      <c r="AW13" s="9">
        <f t="shared" ref="AW13" si="101">(Q13/P13)</f>
        <v>1.273972602739726</v>
      </c>
      <c r="AX13" s="9">
        <f t="shared" ref="AX13" si="102">(R13/Q13)</f>
        <v>1.1397849462365592</v>
      </c>
      <c r="AY13" s="9">
        <f t="shared" ref="AY13" si="103">(S13/R13)</f>
        <v>1.0094339622641511</v>
      </c>
      <c r="AZ13" s="9">
        <f t="shared" ref="AZ13" si="104">(T13/S13)</f>
        <v>0.7570093457943925</v>
      </c>
      <c r="BA13" s="9">
        <f t="shared" ref="BA13" si="105">(U13/T13)</f>
        <v>1.3209876543209877</v>
      </c>
      <c r="BB13" s="9">
        <f t="shared" ref="BB13" si="106">(V13/U13)</f>
        <v>0.83177570093457942</v>
      </c>
      <c r="BC13" s="9">
        <f t="shared" ref="BC13" si="107">(W13/V13)</f>
        <v>1.0224719101123596</v>
      </c>
      <c r="BD13" s="9">
        <f t="shared" ref="BD13" si="108">(X13/W13)</f>
        <v>1.2747252747252746</v>
      </c>
      <c r="BE13" s="9">
        <f t="shared" ref="BE13" si="109">(Y13/X13)</f>
        <v>0.92241379310344829</v>
      </c>
      <c r="BF13" s="9">
        <f t="shared" ref="BF13" si="110">(Z13/Y13)</f>
        <v>0.89719626168224298</v>
      </c>
      <c r="BG13" s="9">
        <f t="shared" ref="BG13" si="111">(AA13/Z13)</f>
        <v>1.5208333333333333</v>
      </c>
      <c r="BH13" s="9">
        <f t="shared" ref="BH13" si="112">(AB13/AA13)</f>
        <v>0.71917808219178081</v>
      </c>
      <c r="BI13" s="9">
        <f t="shared" ref="BI13" si="113">(AC13/AB13)</f>
        <v>1.019047619047619</v>
      </c>
      <c r="BJ13" s="9">
        <f t="shared" ref="BJ13" si="114">(AD13/AC13)</f>
        <v>1.1962616822429906</v>
      </c>
      <c r="BK13" s="9">
        <f t="shared" ref="BK13" si="115">(AE13/AD13)</f>
        <v>0.9921875</v>
      </c>
      <c r="BL13" s="9">
        <f t="shared" ref="BL13" si="116">(AF13/AE13)</f>
        <v>0.53543307086614178</v>
      </c>
      <c r="BM13" s="9">
        <f t="shared" ref="BM13" si="117">(AG13/AF13)</f>
        <v>1.7205882352941178</v>
      </c>
      <c r="BN13" s="9">
        <f t="shared" ref="BN13" si="118">(AH13/AG13)</f>
        <v>0.84615384615384615</v>
      </c>
      <c r="BO13" s="9">
        <f t="shared" ref="BO13" si="119">(AI13/AH13)</f>
        <v>0</v>
      </c>
    </row>
    <row r="14" spans="1:76" x14ac:dyDescent="0.25">
      <c r="A14" s="21"/>
      <c r="B14" s="21"/>
      <c r="C14" s="16"/>
      <c r="D14" s="16"/>
      <c r="E14" s="16"/>
      <c r="F14" s="16"/>
      <c r="G14" s="16"/>
      <c r="H14" s="16"/>
      <c r="I14" s="20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4"/>
      <c r="AJ14" s="7"/>
      <c r="AK14" s="7"/>
      <c r="AL14" s="7"/>
      <c r="AM14" s="7"/>
      <c r="AN14" s="7"/>
      <c r="AO14" s="7"/>
      <c r="AP14" s="7"/>
    </row>
    <row r="15" spans="1:76" x14ac:dyDescent="0.25">
      <c r="A15" s="8"/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7"/>
      <c r="AK15" s="7"/>
      <c r="AL15" s="7"/>
      <c r="AM15" s="7"/>
      <c r="AN15" s="7"/>
      <c r="AO15" s="7"/>
      <c r="AP15" s="7"/>
    </row>
    <row r="16" spans="1:76" x14ac:dyDescent="0.25">
      <c r="B16" s="5"/>
      <c r="C16" s="6" t="s">
        <v>22</v>
      </c>
    </row>
    <row r="18" spans="3:3" x14ac:dyDescent="0.25">
      <c r="C18" s="13" t="s">
        <v>23</v>
      </c>
    </row>
    <row r="19" spans="3:3" x14ac:dyDescent="0.25">
      <c r="C19" s="12" t="s">
        <v>24</v>
      </c>
    </row>
    <row r="20" spans="3:3" x14ac:dyDescent="0.25">
      <c r="C20" t="s">
        <v>25</v>
      </c>
    </row>
    <row r="21" spans="3:3" x14ac:dyDescent="0.25">
      <c r="C21" t="s">
        <v>26</v>
      </c>
    </row>
  </sheetData>
  <mergeCells count="234">
    <mergeCell ref="AH11:AH12"/>
    <mergeCell ref="AH13:AH14"/>
    <mergeCell ref="AE3:AE4"/>
    <mergeCell ref="AE5:AE6"/>
    <mergeCell ref="AE7:AE8"/>
    <mergeCell ref="AE9:AE10"/>
    <mergeCell ref="AE11:AE12"/>
    <mergeCell ref="AE13:AE14"/>
    <mergeCell ref="AF1:AF2"/>
    <mergeCell ref="AF3:AF4"/>
    <mergeCell ref="AF5:AF6"/>
    <mergeCell ref="AF7:AF8"/>
    <mergeCell ref="AF9:AF10"/>
    <mergeCell ref="AF11:AF12"/>
    <mergeCell ref="AF13:AF14"/>
    <mergeCell ref="AG1:AG2"/>
    <mergeCell ref="AG3:AG4"/>
    <mergeCell ref="AG5:AG6"/>
    <mergeCell ref="AG7:AG8"/>
    <mergeCell ref="AA11:AA12"/>
    <mergeCell ref="AA13:AA14"/>
    <mergeCell ref="AC1:AC2"/>
    <mergeCell ref="AD1:AD2"/>
    <mergeCell ref="AC3:AC4"/>
    <mergeCell ref="AC5:AC6"/>
    <mergeCell ref="AC7:AC8"/>
    <mergeCell ref="AC9:AC10"/>
    <mergeCell ref="AC11:AC12"/>
    <mergeCell ref="AC13:AC14"/>
    <mergeCell ref="AD3:AD4"/>
    <mergeCell ref="AD5:AD6"/>
    <mergeCell ref="AD7:AD8"/>
    <mergeCell ref="AD9:AD10"/>
    <mergeCell ref="AD11:AD12"/>
    <mergeCell ref="AD13:AD14"/>
    <mergeCell ref="AB9:AB10"/>
    <mergeCell ref="AB11:AB12"/>
    <mergeCell ref="AB13:AB14"/>
    <mergeCell ref="X11:X12"/>
    <mergeCell ref="X13:X14"/>
    <mergeCell ref="W1:W2"/>
    <mergeCell ref="Z1:Z2"/>
    <mergeCell ref="Z3:Z4"/>
    <mergeCell ref="Z5:Z6"/>
    <mergeCell ref="Z7:Z8"/>
    <mergeCell ref="Z9:Z10"/>
    <mergeCell ref="Z11:Z12"/>
    <mergeCell ref="Z13:Z14"/>
    <mergeCell ref="Y1:Y2"/>
    <mergeCell ref="Y11:Y12"/>
    <mergeCell ref="Y13:Y14"/>
    <mergeCell ref="W3:W4"/>
    <mergeCell ref="W5:W6"/>
    <mergeCell ref="W7:W8"/>
    <mergeCell ref="W9:W10"/>
    <mergeCell ref="W11:W12"/>
    <mergeCell ref="W13:W14"/>
    <mergeCell ref="AJ1:AN1"/>
    <mergeCell ref="AB1:AB2"/>
    <mergeCell ref="AB3:AB4"/>
    <mergeCell ref="AB5:AB6"/>
    <mergeCell ref="AB7:AB8"/>
    <mergeCell ref="Y9:Y10"/>
    <mergeCell ref="Q9:Q10"/>
    <mergeCell ref="R9:R10"/>
    <mergeCell ref="S9:S10"/>
    <mergeCell ref="AE1:AE2"/>
    <mergeCell ref="AH1:AH2"/>
    <mergeCell ref="AH3:AH4"/>
    <mergeCell ref="AH5:AH6"/>
    <mergeCell ref="AH7:AH8"/>
    <mergeCell ref="AH9:AH10"/>
    <mergeCell ref="T9:T10"/>
    <mergeCell ref="Q5:Q6"/>
    <mergeCell ref="R5:R6"/>
    <mergeCell ref="S5:S6"/>
    <mergeCell ref="X3:X4"/>
    <mergeCell ref="X5:X6"/>
    <mergeCell ref="X7:X8"/>
    <mergeCell ref="X9:X10"/>
    <mergeCell ref="AA1:AA2"/>
    <mergeCell ref="AA3:AA4"/>
    <mergeCell ref="AA5:AA6"/>
    <mergeCell ref="AA7:AA8"/>
    <mergeCell ref="AA9:AA10"/>
    <mergeCell ref="T13:T14"/>
    <mergeCell ref="S13:S14"/>
    <mergeCell ref="Q11:Q12"/>
    <mergeCell ref="R11:R12"/>
    <mergeCell ref="S11:S12"/>
    <mergeCell ref="T11:T12"/>
    <mergeCell ref="P9:P10"/>
    <mergeCell ref="R13:R14"/>
    <mergeCell ref="V1:V2"/>
    <mergeCell ref="V3:V4"/>
    <mergeCell ref="P1:P2"/>
    <mergeCell ref="Q1:Q2"/>
    <mergeCell ref="P5:P6"/>
    <mergeCell ref="P3:P4"/>
    <mergeCell ref="U11:U12"/>
    <mergeCell ref="U13:U14"/>
    <mergeCell ref="V5:V6"/>
    <mergeCell ref="V7:V8"/>
    <mergeCell ref="V9:V10"/>
    <mergeCell ref="V11:V12"/>
    <mergeCell ref="V13:V14"/>
    <mergeCell ref="U9:U10"/>
    <mergeCell ref="T5:T6"/>
    <mergeCell ref="T7:T8"/>
    <mergeCell ref="R1:R2"/>
    <mergeCell ref="S1:S2"/>
    <mergeCell ref="Q3:Q4"/>
    <mergeCell ref="R3:R4"/>
    <mergeCell ref="S3:S4"/>
    <mergeCell ref="Y3:Y4"/>
    <mergeCell ref="Y5:Y6"/>
    <mergeCell ref="Y7:Y8"/>
    <mergeCell ref="U1:U2"/>
    <mergeCell ref="U3:U4"/>
    <mergeCell ref="U5:U6"/>
    <mergeCell ref="U7:U8"/>
    <mergeCell ref="X1:X2"/>
    <mergeCell ref="S7:S8"/>
    <mergeCell ref="T1:T2"/>
    <mergeCell ref="T3:T4"/>
    <mergeCell ref="Q7:Q8"/>
    <mergeCell ref="R7:R8"/>
    <mergeCell ref="L5:L6"/>
    <mergeCell ref="M5:M6"/>
    <mergeCell ref="N5:N6"/>
    <mergeCell ref="O5:O6"/>
    <mergeCell ref="M3:M4"/>
    <mergeCell ref="N3:N4"/>
    <mergeCell ref="O3:O4"/>
    <mergeCell ref="M1:M2"/>
    <mergeCell ref="N1:N2"/>
    <mergeCell ref="O1:O2"/>
    <mergeCell ref="C1:C2"/>
    <mergeCell ref="D1:D2"/>
    <mergeCell ref="E1:E2"/>
    <mergeCell ref="F1:F2"/>
    <mergeCell ref="J3:J4"/>
    <mergeCell ref="J7:J8"/>
    <mergeCell ref="D5:D6"/>
    <mergeCell ref="E5:E6"/>
    <mergeCell ref="F5:F6"/>
    <mergeCell ref="G5:G6"/>
    <mergeCell ref="H5:H6"/>
    <mergeCell ref="E7:E8"/>
    <mergeCell ref="F7:F8"/>
    <mergeCell ref="G7:G8"/>
    <mergeCell ref="J5:J6"/>
    <mergeCell ref="E3:E4"/>
    <mergeCell ref="F3:F4"/>
    <mergeCell ref="G3:G4"/>
    <mergeCell ref="H3:H4"/>
    <mergeCell ref="I3:I4"/>
    <mergeCell ref="H7:H8"/>
    <mergeCell ref="A11:B12"/>
    <mergeCell ref="G1:G2"/>
    <mergeCell ref="H1:H2"/>
    <mergeCell ref="I1:I2"/>
    <mergeCell ref="J1:J2"/>
    <mergeCell ref="D3:D4"/>
    <mergeCell ref="D9:D10"/>
    <mergeCell ref="A3:B4"/>
    <mergeCell ref="A7:B8"/>
    <mergeCell ref="A9:B10"/>
    <mergeCell ref="A5:B6"/>
    <mergeCell ref="C3:C4"/>
    <mergeCell ref="C5:C6"/>
    <mergeCell ref="C7:C8"/>
    <mergeCell ref="C9:C10"/>
    <mergeCell ref="I7:I8"/>
    <mergeCell ref="I5:I6"/>
    <mergeCell ref="D7:D8"/>
    <mergeCell ref="J11:J12"/>
    <mergeCell ref="E9:E10"/>
    <mergeCell ref="F9:F10"/>
    <mergeCell ref="G9:G10"/>
    <mergeCell ref="H9:H10"/>
    <mergeCell ref="I9:I10"/>
    <mergeCell ref="C11:C12"/>
    <mergeCell ref="O11:O12"/>
    <mergeCell ref="P11:P12"/>
    <mergeCell ref="K13:K14"/>
    <mergeCell ref="L11:L12"/>
    <mergeCell ref="L13:L14"/>
    <mergeCell ref="L7:L8"/>
    <mergeCell ref="L9:L10"/>
    <mergeCell ref="J9:J10"/>
    <mergeCell ref="K7:K8"/>
    <mergeCell ref="K9:K10"/>
    <mergeCell ref="K11:K12"/>
    <mergeCell ref="N7:N8"/>
    <mergeCell ref="O7:O8"/>
    <mergeCell ref="M7:M8"/>
    <mergeCell ref="M9:M10"/>
    <mergeCell ref="N9:N10"/>
    <mergeCell ref="O9:O10"/>
    <mergeCell ref="P7:P8"/>
    <mergeCell ref="A13:B14"/>
    <mergeCell ref="C13:C14"/>
    <mergeCell ref="D13:D14"/>
    <mergeCell ref="E13:E14"/>
    <mergeCell ref="F13:F14"/>
    <mergeCell ref="G13:G14"/>
    <mergeCell ref="H13:H14"/>
    <mergeCell ref="I13:I14"/>
    <mergeCell ref="J13:J14"/>
    <mergeCell ref="AG9:AG10"/>
    <mergeCell ref="AG11:AG12"/>
    <mergeCell ref="AG13:AG14"/>
    <mergeCell ref="AO1:AZ1"/>
    <mergeCell ref="BA1:BL1"/>
    <mergeCell ref="BM1:BX1"/>
    <mergeCell ref="D11:D12"/>
    <mergeCell ref="E11:E12"/>
    <mergeCell ref="F11:F12"/>
    <mergeCell ref="G11:G12"/>
    <mergeCell ref="H11:H12"/>
    <mergeCell ref="I11:I12"/>
    <mergeCell ref="Q13:Q14"/>
    <mergeCell ref="M13:M14"/>
    <mergeCell ref="N13:N14"/>
    <mergeCell ref="O13:O14"/>
    <mergeCell ref="P13:P14"/>
    <mergeCell ref="M11:M12"/>
    <mergeCell ref="N11:N12"/>
    <mergeCell ref="K1:K2"/>
    <mergeCell ref="K3:K4"/>
    <mergeCell ref="K5:K6"/>
    <mergeCell ref="L1:L2"/>
    <mergeCell ref="L3:L4"/>
  </mergeCells>
  <phoneticPr fontId="1" type="noConversion"/>
  <conditionalFormatting sqref="C3:AH4">
    <cfRule type="expression" priority="2">
      <formula>MAX($C$3:$AH$4)</formula>
    </cfRule>
  </conditionalFormatting>
  <conditionalFormatting sqref="AH3:AH4">
    <cfRule type="expression" dxfId="2" priority="1">
      <formula>MAX($C$3:$AH$4)</formula>
    </cfRule>
  </conditionalFormatting>
  <conditionalFormatting sqref="AJ3:BO3 AJ5:BO5 AJ7:BO7 AJ9:BO9 AJ11:BO11 AJ13:BO13">
    <cfRule type="cellIs" dxfId="1" priority="3" operator="lessThan">
      <formula>1</formula>
    </cfRule>
    <cfRule type="cellIs" dxfId="0" priority="4" operator="greaterThan">
      <formula>1</formula>
    </cfRule>
  </conditionalFormatting>
  <hyperlinks>
    <hyperlink ref="C18" location="Diagrammok!A1" display="Összes" xr:uid="{37B0F1BB-F98D-46D0-9688-F2A626C180EF}"/>
    <hyperlink ref="C19" location="Diagrammok!A1" display="4Conrol" xr:uid="{A9E85F28-3692-4CFF-843E-F515986649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6397-FA21-4136-B379-E550CBC0D4E1}">
  <dimension ref="A1"/>
  <sheetViews>
    <sheetView topLeftCell="A21" workbookViewId="0">
      <selection activeCell="X52" sqref="X5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Munka1</vt:lpstr>
      <vt:lpstr>Diagrammok</vt:lpstr>
    </vt:vector>
  </TitlesOfParts>
  <Manager/>
  <Company>DAT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Bihari, Gabor</dc:creator>
  <cp:keywords/>
  <dc:description/>
  <cp:lastModifiedBy>Haskó Adrián</cp:lastModifiedBy>
  <cp:revision/>
  <dcterms:created xsi:type="dcterms:W3CDTF">2024-03-19T08:53:38Z</dcterms:created>
  <dcterms:modified xsi:type="dcterms:W3CDTF">2026-03-11T20:28:53Z</dcterms:modified>
  <cp:category/>
  <cp:contentStatus/>
</cp:coreProperties>
</file>